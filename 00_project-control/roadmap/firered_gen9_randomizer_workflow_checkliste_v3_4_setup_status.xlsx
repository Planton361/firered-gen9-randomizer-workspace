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e0b512f8fe45c9" /></Relationships>
</file>

<file path=xl/workbook.xml><?xml version="1.0" encoding="utf-8"?>
<x:workbook xmlns:x="http://schemas.openxmlformats.org/spreadsheetml/2006/main">
  <x:sheets>
    <x:sheet xmlns:r="http://schemas.openxmlformats.org/officeDocument/2006/relationships" name="Roadmap_Checkliste" sheetId="1" r:id="R2f41048497134a96"/>
    <x:sheet xmlns:r="http://schemas.openxmlformats.org/officeDocument/2006/relationships" name="Dashboard" sheetId="2" r:id="R548fd515db51410e"/>
    <x:sheet xmlns:r="http://schemas.openxmlformats.org/officeDocument/2006/relationships" name="Roadmap_Audit" sheetId="3" r:id="R97df923687d64d19"/>
    <x:sheet xmlns:r="http://schemas.openxmlformats.org/officeDocument/2006/relationships" name="Terminal_Setup" sheetId="4" r:id="Ra3e6c6b12fed4a73"/>
    <x:sheet xmlns:r="http://schemas.openxmlformats.org/officeDocument/2006/relationships" name="ChatGPT_Codex_Setup" sheetId="5" r:id="R7fe75f77eb174e08"/>
    <x:sheet xmlns:r="http://schemas.openxmlformats.org/officeDocument/2006/relationships" name="Projekt_Instructions" sheetId="6" r:id="R28c8dfa4a6c84bb3"/>
    <x:sheet xmlns:r="http://schemas.openxmlformats.org/officeDocument/2006/relationships" name="Codex_Regeln" sheetId="7" r:id="R9a34fb0085214bd5"/>
    <x:sheet xmlns:r="http://schemas.openxmlformats.org/officeDocument/2006/relationships" name="Docs_Handoff" sheetId="8" r:id="Re2c095c4813e4676"/>
    <x:sheet xmlns:r="http://schemas.openxmlformats.org/officeDocument/2006/relationships" name="Repo_Matrix" sheetId="9" r:id="Rf1556f9406ab4f94"/>
    <x:sheet xmlns:r="http://schemas.openxmlformats.org/officeDocument/2006/relationships" name="Ordnerstruktur" sheetId="10" r:id="R949cb569283c43d3"/>
    <x:sheet xmlns:r="http://schemas.openxmlformats.org/officeDocument/2006/relationships" name="Test_Matrix" sheetId="11" r:id="R4b10f73e023b4d46"/>
    <x:sheet xmlns:r="http://schemas.openxmlformats.org/officeDocument/2006/relationships" name="Prompt_Templates" sheetId="12" r:id="Rde44af72580e4652"/>
    <x:sheet xmlns:r="http://schemas.openxmlformats.org/officeDocument/2006/relationships" name="Quellen" sheetId="13" r:id="R63dba230c3ce45a7"/>
    <x:sheet xmlns:r="http://schemas.openxmlformats.org/officeDocument/2006/relationships" name="Listen" sheetId="14" r:id="R8f8443f4f84c4470"/>
    <x:sheet xmlns:r="http://schemas.openxmlformats.org/officeDocument/2006/relationships" name="Repro_Workflow" sheetId="15" r:id="Rfe098a8abed54c7a"/>
    <x:sheet xmlns:r="http://schemas.openxmlformats.org/officeDocument/2006/relationships" name="Git_Source_of_Truth" sheetId="16" r:id="R8e59916ec6e94e5b"/>
    <x:sheet xmlns:r="http://schemas.openxmlformats.org/officeDocument/2006/relationships" name="Bootstrap_Terminal" sheetId="17" r:id="Radeef7d9402e4452"/>
    <x:sheet xmlns:r="http://schemas.openxmlformats.org/officeDocument/2006/relationships" name="Repo_Publication_Model" sheetId="18" r:id="Rdbfcf87bff3641f3"/>
    <x:sheet xmlns:r="http://schemas.openxmlformats.org/officeDocument/2006/relationships" name="Setup_Stand" sheetId="19" r:id="R3c52d486e8ea42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
      <x:name val="Carlito"/>
    </x:font>
    <x:font>
      <x:sz val="10"/>
      <x:name val="Carlito"/>
    </x:font>
    <x:font>
      <x:sz val="10"/>
      <x:name val="Consolas"/>
    </x:font>
  </x:fonts>
  <x:fills count="16">
    <x:fill>
      <x:patternFill patternType="none"/>
    </x:fill>
    <x:fill>
      <x:patternFill patternType="gray125"/>
    </x:fill>
    <x:fill>
      <x:patternFill patternType="solid">
        <x:fgColor rgb="1F4E79"/>
      </x:patternFill>
    </x:fill>
    <x:fill>
      <x:patternFill patternType="solid">
        <x:fgColor rgb="0F766E"/>
      </x:patternFill>
    </x:fill>
    <x:fill>
      <x:patternFill patternType="solid">
        <x:fgColor rgb="F3F4F6"/>
      </x:patternFill>
    </x:fill>
    <x:fill>
      <x:patternFill patternType="solid">
        <x:fgColor rgb="374151"/>
      </x:patternFill>
    </x:fill>
    <x:fill>
      <x:patternFill patternType="solid">
        <x:fgColor rgb="7C3AED"/>
      </x:patternFill>
    </x:fill>
    <x:fill>
      <x:patternFill patternType="solid">
        <x:fgColor rgb="4B5563"/>
      </x:patternFill>
    </x:fill>
    <x:fill>
      <x:patternFill patternType="solid">
        <x:fgColor rgb="1D4ED8"/>
      </x:patternFill>
    </x:fill>
    <x:fill>
      <x:patternFill patternType="solid">
        <x:fgColor rgb="B45309"/>
      </x:patternFill>
    </x:fill>
    <x:fill>
      <x:patternFill patternType="solid">
        <x:fgColor rgb="7C2D12"/>
      </x:patternFill>
    </x:fill>
    <x:fill>
      <x:patternFill patternType="solid">
        <x:fgColor rgb="0F172A"/>
      </x:patternFill>
    </x:fill>
    <x:fill>
      <x:patternFill patternType="solid">
        <x:fgColor rgb="334155"/>
      </x:patternFill>
    </x:fill>
    <x:fill>
      <x:patternFill patternType="solid">
        <x:fgColor rgb="1F4E78"/>
      </x:patternFill>
    </x:fill>
    <x:fill>
      <x:patternFill patternType="solid">
        <x:fgColor rgb="FFF2CC"/>
      </x:patternFill>
    </x:fill>
    <x:fill>
      <x:patternFill patternType="solid">
        <x:fgColor rgb="1F4E78"/>
      </x:patternFill>
    </x:fill>
  </x:fills>
  <x:borders count="20">
    <x:border/>
    <x:border/>
    <x:border>
      <x:left>
        <x:color rgb="CBD5E1"/>
      </x:left>
      <x:right>
        <x:color rgb="E5E7EB"/>
      </x:right>
      <x:top>
        <x:color rgb="CBD5E1"/>
      </x:top>
      <x:bottom>
        <x:color rgb="E5E7EB"/>
      </x:bottom>
    </x:border>
    <x:border>
      <x:left>
        <x:color rgb="E5E7EB"/>
      </x:left>
      <x:right>
        <x:color rgb="E5E7EB"/>
      </x:right>
      <x:top>
        <x:color rgb="CBD5E1"/>
      </x:top>
      <x:bottom>
        <x:color rgb="E5E7EB"/>
      </x:bottom>
    </x:border>
    <x:border>
      <x:left>
        <x:color rgb="E5E7EB"/>
      </x:left>
      <x:right>
        <x:color rgb="CBD5E1"/>
      </x:right>
      <x:top>
        <x:color rgb="CBD5E1"/>
      </x:top>
      <x:bottom>
        <x:color rgb="E5E7EB"/>
      </x:bottom>
    </x:border>
    <x:border>
      <x:left>
        <x:color rgb="CBD5E1"/>
      </x:left>
      <x:right>
        <x:color rgb="E5E7EB"/>
      </x:right>
      <x:top>
        <x:color rgb="E5E7EB"/>
      </x:top>
      <x:bottom>
        <x:color rgb="E5E7EB"/>
      </x:bottom>
    </x:border>
    <x:border>
      <x:left>
        <x:color rgb="E5E7EB"/>
      </x:left>
      <x:right>
        <x:color rgb="E5E7EB"/>
      </x:right>
      <x:top>
        <x:color rgb="E5E7EB"/>
      </x:top>
      <x:bottom>
        <x:color rgb="E5E7EB"/>
      </x:bottom>
    </x:border>
    <x:border>
      <x:left>
        <x:color rgb="E5E7EB"/>
      </x:left>
      <x:right>
        <x:color rgb="CBD5E1"/>
      </x:right>
      <x:top>
        <x:color rgb="E5E7EB"/>
      </x:top>
      <x:bottom>
        <x:color rgb="E5E7EB"/>
      </x:bottom>
    </x:border>
    <x:border>
      <x:left>
        <x:color rgb="CBD5E1"/>
      </x:left>
      <x:right>
        <x:color rgb="E5E7EB"/>
      </x:right>
      <x:top>
        <x:color rgb="E5E7EB"/>
      </x:top>
      <x:bottom>
        <x:color rgb="CBD5E1"/>
      </x:bottom>
    </x:border>
    <x:border>
      <x:left>
        <x:color rgb="E5E7EB"/>
      </x:left>
      <x:right>
        <x:color rgb="E5E7EB"/>
      </x:right>
      <x:top>
        <x:color rgb="E5E7EB"/>
      </x:top>
      <x:bottom>
        <x:color rgb="CBD5E1"/>
      </x:bottom>
    </x:border>
    <x:border>
      <x:left>
        <x:color rgb="E5E7EB"/>
      </x:left>
      <x:right>
        <x:color rgb="CBD5E1"/>
      </x:right>
      <x:top>
        <x:color rgb="E5E7EB"/>
      </x:top>
      <x:bottom>
        <x:color rgb="CBD5E1"/>
      </x:bottom>
    </x:border>
    <x:border>
      <x:left>
        <x:color rgb="CBD5E1"/>
      </x:left>
      <x:right>
        <x:color rgb="E5E7EB"/>
      </x:right>
      <x:top>
        <x:color rgb="CBD5E1"/>
      </x:top>
      <x:bottom>
        <x:color rgb="E5E7EB"/>
      </x:bottom>
    </x:border>
    <x:border>
      <x:left>
        <x:color rgb="E5E7EB"/>
      </x:left>
      <x:right>
        <x:color rgb="E5E7EB"/>
      </x:right>
      <x:top>
        <x:color rgb="CBD5E1"/>
      </x:top>
      <x:bottom>
        <x:color rgb="E5E7EB"/>
      </x:bottom>
    </x:border>
    <x:border>
      <x:left>
        <x:color rgb="E5E7EB"/>
      </x:left>
      <x:right>
        <x:color rgb="CBD5E1"/>
      </x:right>
      <x:top>
        <x:color rgb="CBD5E1"/>
      </x:top>
      <x:bottom>
        <x:color rgb="E5E7EB"/>
      </x:bottom>
    </x:border>
    <x:border>
      <x:left>
        <x:color rgb="CBD5E1"/>
      </x:left>
      <x:right>
        <x:color rgb="E5E7EB"/>
      </x:right>
      <x:top>
        <x:color rgb="E5E7EB"/>
      </x:top>
      <x:bottom>
        <x:color rgb="E5E7EB"/>
      </x:bottom>
    </x:border>
    <x:border>
      <x:left>
        <x:color rgb="E5E7EB"/>
      </x:left>
      <x:right>
        <x:color rgb="E5E7EB"/>
      </x:right>
      <x:top>
        <x:color rgb="E5E7EB"/>
      </x:top>
      <x:bottom>
        <x:color rgb="E5E7EB"/>
      </x:bottom>
    </x:border>
    <x:border>
      <x:left>
        <x:color rgb="E5E7EB"/>
      </x:left>
      <x:right>
        <x:color rgb="CBD5E1"/>
      </x:right>
      <x:top>
        <x:color rgb="E5E7EB"/>
      </x:top>
      <x:bottom>
        <x:color rgb="E5E7EB"/>
      </x:bottom>
    </x:border>
    <x:border>
      <x:left>
        <x:color rgb="CBD5E1"/>
      </x:left>
      <x:right>
        <x:color rgb="E5E7EB"/>
      </x:right>
      <x:top>
        <x:color rgb="E5E7EB"/>
      </x:top>
      <x:bottom>
        <x:color rgb="CBD5E1"/>
      </x:bottom>
    </x:border>
    <x:border>
      <x:left>
        <x:color rgb="E5E7EB"/>
      </x:left>
      <x:right>
        <x:color rgb="E5E7EB"/>
      </x:right>
      <x:top>
        <x:color rgb="E5E7EB"/>
      </x:top>
      <x:bottom>
        <x:color rgb="CBD5E1"/>
      </x:bottom>
    </x:border>
    <x:border>
      <x:left>
        <x:color rgb="E5E7EB"/>
      </x:left>
      <x:right>
        <x:color rgb="CBD5E1"/>
      </x:right>
      <x:top>
        <x:color rgb="E5E7EB"/>
      </x:top>
      <x:bottom>
        <x:color rgb="CBD5E1"/>
      </x:bottom>
    </x:border>
  </x:borders>
  <x:cellStyleXfs count="1">
    <x:xf numFmtId="0" fontId="0" fillId="0" borderId="0"/>
  </x:cellStyleXfs>
  <x:cellXfs count="2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18"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200" fontId="2" fillId="0" borderId="15" xfId="0" applyNumberFormat="1" applyFont="1" applyFill="1" applyBorder="1" applyAlignment="1">
      <x:alignment vertical="top" wrapText="1"/>
    </x:xf>
    <x:xf numFmtId="200" fontId="2" fillId="0" borderId="18" xfId="0" applyNumberFormat="1" applyFont="1" applyFill="1" applyBorder="1" applyAlignment="1">
      <x:alignment vertical="top" wrapText="1"/>
    </x:xf>
    <x:xf numFmtId="0" fontId="2" fillId="0" borderId="5" xfId="0" applyNumberFormat="1" applyFont="1" applyFill="1" applyBorder="1" applyAlignment="1">
      <x:alignment horizontal="center" vertical="top" wrapText="1"/>
    </x:xf>
    <x:xf numFmtId="0" fontId="2" fillId="0" borderId="8" xfId="0" applyNumberFormat="1" applyFont="1" applyFill="1" applyBorder="1" applyAlignment="1">
      <x:alignment horizontal="center" vertical="top" wrapText="1"/>
    </x:xf>
    <x:xf numFmtId="0" fontId="2" fillId="0" borderId="14" xfId="0" applyNumberFormat="1" applyFont="1" applyFill="1" applyBorder="1" applyAlignment="1">
      <x:alignment horizontal="center" vertical="top" wrapText="1"/>
    </x:xf>
    <x:xf numFmtId="0" fontId="2" fillId="0" borderId="17" xfId="0" applyNumberFormat="1" applyFont="1" applyFill="1" applyBorder="1" applyAlignment="1">
      <x:alignment horizontal="center" vertical="top" wrapText="1"/>
    </x:xf>
    <x:xf numFmtId="0" fontId="2" fillId="0" borderId="6" xfId="0" applyNumberFormat="1" applyFont="1" applyFill="1" applyBorder="1" applyAlignment="1">
      <x:alignment horizontal="center" vertical="top" wrapText="1"/>
    </x:xf>
    <x:xf numFmtId="0" fontId="2" fillId="0" borderId="9" xfId="0" applyNumberFormat="1" applyFont="1" applyFill="1" applyBorder="1" applyAlignment="1">
      <x:alignment horizontal="center" vertical="top" wrapText="1"/>
    </x:xf>
    <x:xf numFmtId="0" fontId="2" fillId="0" borderId="15" xfId="0" applyNumberFormat="1" applyFont="1" applyFill="1" applyBorder="1" applyAlignment="1">
      <x:alignment horizontal="center" vertical="top" wrapText="1"/>
    </x:xf>
    <x:xf numFmtId="0" fontId="2" fillId="0" borderId="18" xfId="0" applyNumberFormat="1" applyFont="1" applyFill="1" applyBorder="1" applyAlignment="1">
      <x:alignment horizontal="center" vertical="top" wrapText="1"/>
    </x:xf>
    <x:xf numFmtId="200" fontId="2" fillId="0" borderId="6" xfId="0" applyNumberFormat="1" applyFont="1" applyFill="1" applyBorder="1" applyAlignment="1">
      <x:alignment horizontal="center" vertical="top" wrapText="1"/>
    </x:xf>
    <x:xf numFmtId="200" fontId="2" fillId="0" borderId="9" xfId="0" applyNumberFormat="1" applyFont="1" applyFill="1" applyBorder="1" applyAlignment="1">
      <x:alignment horizontal="center" vertical="top" wrapText="1"/>
    </x:xf>
    <x:xf numFmtId="200" fontId="2" fillId="0" borderId="15" xfId="0" applyNumberFormat="1" applyFont="1" applyFill="1" applyBorder="1" applyAlignment="1">
      <x:alignment horizontal="center" vertical="top" wrapText="1"/>
    </x:xf>
    <x:xf numFmtId="200" fontId="2" fillId="0" borderId="18" xfId="0" applyNumberFormat="1" applyFont="1" applyFill="1" applyBorder="1" applyAlignment="1">
      <x:alignment horizontal="center"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11" xfId="0" applyNumberFormat="1" applyFont="1" applyFill="1" applyBorder="1" applyAlignment="1">
      <x:alignment horizontal="center" vertical="center" wrapText="1"/>
    </x:xf>
    <x:xf numFmtId="0" fontId="1" fillId="3" borderId="12" xfId="0" applyNumberFormat="1" applyFont="1" applyFill="1" applyBorder="1" applyAlignment="1">
      <x:alignment horizontal="center" vertical="center" wrapText="1"/>
    </x:xf>
    <x:xf numFmtId="0" fontId="1" fillId="3" borderId="13" xfId="0" applyNumberFormat="1" applyFont="1" applyFill="1" applyBorder="1" applyAlignment="1">
      <x:alignment horizontal="center" vertical="center" wrapText="1"/>
    </x:xf>
    <x:xf numFmtId="0" fontId="2" fillId="4" borderId="6" xfId="0" applyNumberFormat="1" applyFont="1" applyFill="1" applyBorder="1" applyAlignment="1">
      <x:alignment horizontal="center" vertical="top" wrapText="1"/>
    </x:xf>
    <x:xf numFmtId="0" fontId="2" fillId="4" borderId="15"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1" fillId="5" borderId="2" xfId="0" applyNumberFormat="1" applyFont="1" applyFill="1" applyBorder="1" applyAlignment="1">
      <x:alignment horizontal="center" vertical="center" wrapText="1"/>
    </x:xf>
    <x:xf numFmtId="0" fontId="1" fillId="5" borderId="3" xfId="0" applyNumberFormat="1" applyFont="1" applyFill="1" applyBorder="1" applyAlignment="1">
      <x:alignment horizontal="center" vertical="center" wrapText="1"/>
    </x:xf>
    <x:xf numFmtId="0" fontId="1" fillId="5" borderId="4" xfId="0" applyNumberFormat="1" applyFont="1" applyFill="1" applyBorder="1" applyAlignment="1">
      <x:alignment horizontal="center" vertical="center" wrapText="1"/>
    </x:xf>
    <x:xf numFmtId="0" fontId="1" fillId="5" borderId="11" xfId="0" applyNumberFormat="1" applyFont="1" applyFill="1" applyBorder="1" applyAlignment="1">
      <x:alignment horizontal="center" vertical="center" wrapText="1"/>
    </x:xf>
    <x:xf numFmtId="0" fontId="1" fillId="5" borderId="12" xfId="0" applyNumberFormat="1" applyFont="1" applyFill="1" applyBorder="1" applyAlignment="1">
      <x:alignment horizontal="center" vertical="center" wrapText="1"/>
    </x:xf>
    <x:xf numFmtId="0" fontId="1" fillId="5" borderId="13"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1" fillId="6" borderId="3" xfId="0" applyNumberFormat="1" applyFont="1" applyFill="1" applyBorder="1" applyAlignment="1">
      <x:alignment horizontal="center" vertical="center" wrapText="1"/>
    </x:xf>
    <x:xf numFmtId="0" fontId="1" fillId="6" borderId="4" xfId="0" applyNumberFormat="1" applyFont="1" applyFill="1" applyBorder="1" applyAlignment="1">
      <x:alignment horizontal="center" vertical="center" wrapText="1"/>
    </x:xf>
    <x:xf numFmtId="0" fontId="1" fillId="6" borderId="11" xfId="0" applyNumberFormat="1" applyFont="1" applyFill="1" applyBorder="1" applyAlignment="1">
      <x:alignment horizontal="center" vertical="center" wrapText="1"/>
    </x:xf>
    <x:xf numFmtId="0" fontId="1" fillId="6" borderId="12" xfId="0" applyNumberFormat="1" applyFont="1" applyFill="1" applyBorder="1" applyAlignment="1">
      <x:alignment horizontal="center" vertical="center" wrapText="1"/>
    </x:xf>
    <x:xf numFmtId="0" fontId="1" fillId="6" borderId="13"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wrapText="1"/>
    </x:xf>
    <x:xf numFmtId="0" fontId="1" fillId="7" borderId="1" xfId="0" applyNumberFormat="1" applyFont="1" applyFill="1" applyBorder="1" applyAlignment="1">
      <x:alignment horizontal="center" wrapText="1"/>
    </x:xf>
    <x:xf numFmtId="0" fontId="1" fillId="7" borderId="1" xfId="0" applyNumberFormat="1" applyFont="1" applyFill="1" applyBorder="1" applyAlignment="1">
      <x:alignment horizontal="center" vertic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1" fillId="7" borderId="11" xfId="0" applyNumberFormat="1" applyFont="1" applyFill="1" applyBorder="1" applyAlignment="1">
      <x:alignment horizontal="center" vertical="center" wrapText="1"/>
    </x:xf>
    <x:xf numFmtId="0" fontId="1" fillId="7" borderId="12" xfId="0" applyNumberFormat="1" applyFont="1" applyFill="1" applyBorder="1" applyAlignment="1">
      <x:alignment horizontal="center" vertical="center" wrapText="1"/>
    </x:xf>
    <x:xf numFmtId="0" fontId="1" fillId="7" borderId="13"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xf numFmtId="0" fontId="1" fillId="8" borderId="1"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1" fillId="8" borderId="3" xfId="0" applyNumberFormat="1" applyFont="1" applyFill="1" applyBorder="1" applyAlignment="1">
      <x:alignment horizontal="center" vertical="center" wrapText="1"/>
    </x:xf>
    <x:xf numFmtId="0" fontId="1" fillId="8" borderId="4" xfId="0" applyNumberFormat="1" applyFont="1" applyFill="1" applyBorder="1" applyAlignment="1">
      <x:alignment horizontal="center" vertical="center" wrapText="1"/>
    </x:xf>
    <x:xf numFmtId="0" fontId="1" fillId="8" borderId="11" xfId="0" applyNumberFormat="1" applyFont="1" applyFill="1" applyBorder="1" applyAlignment="1">
      <x:alignment horizontal="center" vertical="center" wrapText="1"/>
    </x:xf>
    <x:xf numFmtId="0" fontId="1" fillId="8" borderId="12" xfId="0" applyNumberFormat="1" applyFont="1" applyFill="1" applyBorder="1" applyAlignment="1">
      <x:alignment horizontal="center" vertical="center" wrapText="1"/>
    </x:xf>
    <x:xf numFmtId="0" fontId="1" fillId="8" borderId="13"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wrapText="1"/>
    </x:xf>
    <x:xf numFmtId="0" fontId="1" fillId="9" borderId="1" xfId="0" applyNumberFormat="1" applyFont="1" applyFill="1" applyBorder="1" applyAlignment="1">
      <x:alignment horizontal="center" wrapText="1"/>
    </x:xf>
    <x:xf numFmtId="0" fontId="1" fillId="9" borderId="1" xfId="0" applyNumberFormat="1" applyFont="1" applyFill="1" applyBorder="1" applyAlignment="1">
      <x:alignment horizontal="center" vertical="center" wrapText="1"/>
    </x:xf>
    <x:xf numFmtId="0" fontId="1" fillId="9" borderId="2" xfId="0" applyNumberFormat="1" applyFont="1" applyFill="1" applyBorder="1" applyAlignment="1">
      <x:alignment horizontal="center" vertical="center" wrapText="1"/>
    </x:xf>
    <x:xf numFmtId="0" fontId="1" fillId="9" borderId="3" xfId="0" applyNumberFormat="1" applyFont="1" applyFill="1" applyBorder="1" applyAlignment="1">
      <x:alignment horizontal="center" vertical="center" wrapText="1"/>
    </x:xf>
    <x:xf numFmtId="0" fontId="1" fillId="9" borderId="4" xfId="0" applyNumberFormat="1" applyFont="1" applyFill="1" applyBorder="1" applyAlignment="1">
      <x:alignment horizontal="center" vertical="center" wrapText="1"/>
    </x:xf>
    <x:xf numFmtId="0" fontId="1" fillId="9" borderId="11" xfId="0" applyNumberFormat="1" applyFont="1" applyFill="1" applyBorder="1" applyAlignment="1">
      <x:alignment horizontal="center" vertical="center" wrapText="1"/>
    </x:xf>
    <x:xf numFmtId="0" fontId="1" fillId="9" borderId="12" xfId="0" applyNumberFormat="1" applyFont="1" applyFill="1" applyBorder="1" applyAlignment="1">
      <x:alignment horizontal="center" vertical="center" wrapText="1"/>
    </x:xf>
    <x:xf numFmtId="0" fontId="1" fillId="9" borderId="13"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0" fillId="10" borderId="1"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wrapText="1"/>
    </x:xf>
    <x:xf numFmtId="0" fontId="1" fillId="10" borderId="1" xfId="0" applyNumberFormat="1" applyFont="1" applyFill="1" applyBorder="1" applyAlignment="1">
      <x:alignment horizontal="center" wrapText="1"/>
    </x:xf>
    <x:xf numFmtId="0" fontId="1" fillId="10" borderId="1" xfId="0" applyNumberFormat="1" applyFont="1" applyFill="1" applyBorder="1" applyAlignment="1">
      <x:alignment horizontal="center" vertical="center" wrapText="1"/>
    </x:xf>
    <x:xf numFmtId="0" fontId="1" fillId="10" borderId="2" xfId="0" applyNumberFormat="1" applyFont="1" applyFill="1" applyBorder="1" applyAlignment="1">
      <x:alignment horizontal="center" vertical="center" wrapText="1"/>
    </x:xf>
    <x:xf numFmtId="0" fontId="1" fillId="10" borderId="3" xfId="0" applyNumberFormat="1" applyFont="1" applyFill="1" applyBorder="1" applyAlignment="1">
      <x:alignment horizontal="center" vertical="center" wrapText="1"/>
    </x:xf>
    <x:xf numFmtId="0" fontId="1" fillId="10" borderId="4" xfId="0" applyNumberFormat="1" applyFont="1" applyFill="1" applyBorder="1" applyAlignment="1">
      <x:alignment horizontal="center" vertical="center" wrapText="1"/>
    </x:xf>
    <x:xf numFmtId="0" fontId="1" fillId="10" borderId="11" xfId="0" applyNumberFormat="1" applyFont="1" applyFill="1" applyBorder="1" applyAlignment="1">
      <x:alignment horizontal="center" vertical="center" wrapText="1"/>
    </x:xf>
    <x:xf numFmtId="0" fontId="1" fillId="10" borderId="12" xfId="0" applyNumberFormat="1" applyFont="1" applyFill="1" applyBorder="1" applyAlignment="1">
      <x:alignment horizontal="center" vertical="center" wrapText="1"/>
    </x:xf>
    <x:xf numFmtId="0" fontId="1" fillId="10" borderId="13"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1" borderId="1" xfId="0" applyNumberFormat="1" applyFont="1" applyFill="1" applyBorder="1"/>
    <x:xf numFmtId="0" fontId="1" fillId="11" borderId="1" xfId="0" applyNumberFormat="1" applyFont="1" applyFill="1" applyBorder="1"/>
    <x:xf numFmtId="0" fontId="1" fillId="11" borderId="1" xfId="0" applyNumberFormat="1" applyFont="1" applyFill="1" applyBorder="1" applyAlignment="1">
      <x:alignment wrapText="1"/>
    </x:xf>
    <x:xf numFmtId="0" fontId="1" fillId="11" borderId="1" xfId="0" applyNumberFormat="1" applyFont="1" applyFill="1" applyBorder="1" applyAlignment="1">
      <x:alignment horizontal="center" wrapText="1"/>
    </x:xf>
    <x:xf numFmtId="0" fontId="1" fillId="11" borderId="1" xfId="0" applyNumberFormat="1" applyFont="1" applyFill="1" applyBorder="1" applyAlignment="1">
      <x:alignment horizontal="center" vertical="center" wrapText="1"/>
    </x:xf>
    <x:xf numFmtId="0" fontId="1" fillId="11" borderId="2" xfId="0" applyNumberFormat="1" applyFont="1" applyFill="1" applyBorder="1" applyAlignment="1">
      <x:alignment horizontal="center" vertical="center" wrapText="1"/>
    </x:xf>
    <x:xf numFmtId="0" fontId="1" fillId="11" borderId="3" xfId="0" applyNumberFormat="1" applyFont="1" applyFill="1" applyBorder="1" applyAlignment="1">
      <x:alignment horizontal="center" vertical="center" wrapText="1"/>
    </x:xf>
    <x:xf numFmtId="0" fontId="1" fillId="11" borderId="4" xfId="0" applyNumberFormat="1" applyFont="1" applyFill="1" applyBorder="1" applyAlignment="1">
      <x:alignment horizontal="center" vertical="center" wrapText="1"/>
    </x:xf>
    <x:xf numFmtId="0" fontId="1" fillId="11" borderId="11" xfId="0" applyNumberFormat="1" applyFont="1" applyFill="1" applyBorder="1" applyAlignment="1">
      <x:alignment horizontal="center" vertical="center" wrapText="1"/>
    </x:xf>
    <x:xf numFmtId="0" fontId="1" fillId="11" borderId="12" xfId="0" applyNumberFormat="1" applyFont="1" applyFill="1" applyBorder="1" applyAlignment="1">
      <x:alignment horizontal="center" vertical="center" wrapText="1"/>
    </x:xf>
    <x:xf numFmtId="0" fontId="1" fillId="11" borderId="13" xfId="0" applyNumberFormat="1" applyFont="1" applyFill="1" applyBorder="1" applyAlignment="1">
      <x:alignment horizontal="center"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2" borderId="1" xfId="0" applyNumberFormat="1" applyFont="1" applyFill="1" applyBorder="1"/>
    <x:xf numFmtId="0" fontId="1" fillId="12" borderId="1" xfId="0" applyNumberFormat="1" applyFont="1" applyFill="1" applyBorder="1"/>
    <x:xf numFmtId="0" fontId="1" fillId="12" borderId="1" xfId="0" applyNumberFormat="1" applyFont="1" applyFill="1" applyBorder="1" applyAlignment="1">
      <x:alignment wrapText="1"/>
    </x:xf>
    <x:xf numFmtId="0" fontId="1" fillId="12" borderId="1" xfId="0" applyNumberFormat="1" applyFont="1" applyFill="1" applyBorder="1" applyAlignment="1">
      <x:alignment horizontal="center" wrapText="1"/>
    </x:xf>
    <x:xf numFmtId="0" fontId="1" fillId="12" borderId="1" xfId="0" applyNumberFormat="1" applyFont="1" applyFill="1" applyBorder="1" applyAlignment="1">
      <x:alignment horizontal="center" vertical="center" wrapText="1"/>
    </x:xf>
    <x:xf numFmtId="0" fontId="1" fillId="12" borderId="2" xfId="0" applyNumberFormat="1" applyFont="1" applyFill="1" applyBorder="1" applyAlignment="1">
      <x:alignment horizontal="center" vertical="center" wrapText="1"/>
    </x:xf>
    <x:xf numFmtId="0" fontId="1" fillId="12" borderId="3" xfId="0" applyNumberFormat="1" applyFont="1" applyFill="1" applyBorder="1" applyAlignment="1">
      <x:alignment horizontal="center" vertical="center" wrapText="1"/>
    </x:xf>
    <x:xf numFmtId="0" fontId="1" fillId="12" borderId="4" xfId="0" applyNumberFormat="1" applyFont="1" applyFill="1" applyBorder="1" applyAlignment="1">
      <x:alignment horizontal="center" vertical="center" wrapText="1"/>
    </x:xf>
    <x:xf numFmtId="0" fontId="1" fillId="12" borderId="11" xfId="0" applyNumberFormat="1" applyFont="1" applyFill="1" applyBorder="1" applyAlignment="1">
      <x:alignment horizontal="center" vertical="center" wrapText="1"/>
    </x:xf>
    <x:xf numFmtId="0" fontId="1" fillId="12" borderId="12"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0"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1" fillId="15" borderId="0" xfId="0" applyNumberFormat="1" applyFont="1" applyFill="1" applyBorder="1" applyAlignment="1">
      <x:alignment horizontal="center" wrapText="1"/>
    </x:xf>
  </x:cellXfs>
  <x:cellStyles count="1">
    <x:cellStyle name="Normal" xfId="0"/>
  </x:cellStyles>
  <x:dxfs count="6">
    <x:dxf>
      <x:fill>
        <x:patternFill>
          <x:bgColor rgb="F3F4F6"/>
        </x:patternFill>
      </x:fill>
    </x:dxf>
    <x:dxf>
      <x:fill>
        <x:patternFill>
          <x:bgColor rgb="DBEAFE"/>
        </x:patternFill>
      </x:fill>
    </x:dxf>
    <x:dxf>
      <x:fill>
        <x:patternFill>
          <x:bgColor rgb="FEF3C7"/>
        </x:patternFill>
      </x:fill>
    </x:dxf>
    <x:dxf>
      <x:fill>
        <x:patternFill>
          <x:bgColor rgb="EDE9FE"/>
        </x:patternFill>
      </x:fill>
    </x:dxf>
    <x:dxf>
      <x:fill>
        <x:patternFill>
          <x:bgColor rgb="FEE2E2"/>
        </x:patternFill>
      </x:fill>
    </x:dxf>
    <x:dxf>
      <x:fill>
        <x:patternFill>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9f0bb20efe4849" /><Relationship Type="http://schemas.openxmlformats.org/officeDocument/2006/relationships/theme" Target="/xl/theme/theme1.xml" Id="Rabf7af8b91814935" /><Relationship Type="http://schemas.openxmlformats.org/officeDocument/2006/relationships/sharedStrings" Target="/xl/sharedStrings.xml" Id="Rb85cb281abed4378" /><Relationship Type="http://schemas.openxmlformats.org/officeDocument/2006/relationships/worksheet" Target="/xl/worksheets/sheet1.xml" Id="R2f41048497134a96" /><Relationship Type="http://schemas.openxmlformats.org/officeDocument/2006/relationships/worksheet" Target="/xl/worksheets/sheet2.xml" Id="R548fd515db51410e" /><Relationship Type="http://schemas.openxmlformats.org/officeDocument/2006/relationships/worksheet" Target="/xl/worksheets/sheet3.xml" Id="R97df923687d64d19" /><Relationship Type="http://schemas.openxmlformats.org/officeDocument/2006/relationships/worksheet" Target="/xl/worksheets/sheet4.xml" Id="Ra3e6c6b12fed4a73" /><Relationship Type="http://schemas.openxmlformats.org/officeDocument/2006/relationships/worksheet" Target="/xl/worksheets/sheet5.xml" Id="R7fe75f77eb174e08" /><Relationship Type="http://schemas.openxmlformats.org/officeDocument/2006/relationships/worksheet" Target="/xl/worksheets/sheet6.xml" Id="R28c8dfa4a6c84bb3" /><Relationship Type="http://schemas.openxmlformats.org/officeDocument/2006/relationships/worksheet" Target="/xl/worksheets/sheet7.xml" Id="R9a34fb0085214bd5" /><Relationship Type="http://schemas.openxmlformats.org/officeDocument/2006/relationships/worksheet" Target="/xl/worksheets/sheet8.xml" Id="Re2c095c4813e4676" /><Relationship Type="http://schemas.openxmlformats.org/officeDocument/2006/relationships/worksheet" Target="/xl/worksheets/sheet9.xml" Id="Rf1556f9406ab4f94" /><Relationship Type="http://schemas.openxmlformats.org/officeDocument/2006/relationships/worksheet" Target="/xl/worksheets/sheet10.xml" Id="R949cb569283c43d3" /><Relationship Type="http://schemas.openxmlformats.org/officeDocument/2006/relationships/worksheet" Target="/xl/worksheets/sheet11.xml" Id="R4b10f73e023b4d46" /><Relationship Type="http://schemas.openxmlformats.org/officeDocument/2006/relationships/worksheet" Target="/xl/worksheets/sheet12.xml" Id="Rde44af72580e4652" /><Relationship Type="http://schemas.openxmlformats.org/officeDocument/2006/relationships/worksheet" Target="/xl/worksheets/sheet13.xml" Id="R63dba230c3ce45a7" /><Relationship Type="http://schemas.openxmlformats.org/officeDocument/2006/relationships/worksheet" Target="/xl/worksheets/sheet14.xml" Id="R8f8443f4f84c4470" /><Relationship Type="http://schemas.openxmlformats.org/officeDocument/2006/relationships/worksheet" Target="/xl/worksheets/sheet15.xml" Id="Rfe098a8abed54c7a" /><Relationship Type="http://schemas.openxmlformats.org/officeDocument/2006/relationships/worksheet" Target="/xl/worksheets/sheet16.xml" Id="R8e59916ec6e94e5b" /><Relationship Type="http://schemas.openxmlformats.org/officeDocument/2006/relationships/worksheet" Target="/xl/worksheets/sheet17.xml" Id="Radeef7d9402e4452" /><Relationship Type="http://schemas.openxmlformats.org/officeDocument/2006/relationships/worksheet" Target="/xl/worksheets/sheet18.xml" Id="Rdbfcf87bff3641f3" /><Relationship Type="http://schemas.openxmlformats.org/officeDocument/2006/relationships/worksheet" Target="/xl/worksheets/sheet19.xml" Id="R3c52d486e8ea4281" /></Relationships>
</file>

<file path=xl/tables/table1.xml><?xml version="1.0" encoding="utf-8"?>
<x:table xmlns:x="http://schemas.openxmlformats.org/spreadsheetml/2006/main" id="1" name="RoadmapTable" displayName="RoadmapTable" ref="A1:O72" headerRowCount="1">
  <x:tableColumns count="15">
    <x:tableColumn id="1" name="Nr."/>
    <x:tableColumn id="2" name="Paket"/>
    <x:tableColumn id="3" name="Task-ID"/>
    <x:tableColumn id="4" name="Aufgabe"/>
    <x:tableColumn id="5" name="Ziel / Ergebnis"/>
    <x:tableColumn id="6" name="Status"/>
    <x:tableColumn id="7" name="Fortschritt"/>
    <x:tableColumn id="8" name="Verantwortlich"/>
    <x:tableColumn id="9" name="Arbeitsschrittgröße"/>
    <x:tableColumn id="10" name="Terminal / ChatGPT / Codex-Hinweis"/>
    <x:tableColumn id="11" name="Codex darf"/>
    <x:tableColumn id="12" name="Codex darf nicht"/>
    <x:tableColumn id="13" name="Abnahmekriterium"/>
    <x:tableColumn id="14" name="Nachweis / Datei"/>
    <x:tableColumn id="15" name="Quelle / Referenz"/>
  </x:tableColumns>
  <x:tableStyleInfo name="TableStyleMedium2" showRowStripes="1"/>
</x:table>
</file>

<file path=xl/tables/table2.xml><?xml version="1.0" encoding="utf-8"?>
<x:table xmlns:x="http://schemas.openxmlformats.org/spreadsheetml/2006/main" id="2" name="DashboardTable" displayName="DashboardTable" ref="A1:C22" headerRowCount="1">
  <x:tableColumns count="3">
    <x:tableColumn id="1" name="Dashboard"/>
    <x:tableColumn id="2" name="Wert"/>
    <x:tableColumn id="3" name="Hinweis"/>
  </x:tableColumns>
  <x:tableStyleInfo name="TableStyleMedium2" showRowStripes="1"/>
</x:table>
</file>

<file path=xl/tables/table3.xml><?xml version="1.0" encoding="utf-8"?>
<x:table xmlns:x="http://schemas.openxmlformats.org/spreadsheetml/2006/main" id="3" name="AuditTable" displayName="AuditTable" ref="A1:D8" headerRowCount="1">
  <x:tableColumns count="4">
    <x:tableColumn id="1" name="Prüfpunkt"/>
    <x:tableColumn id="2" name="Bewertung"/>
    <x:tableColumn id="3" name="Änderung in v3"/>
    <x:tableColumn id="4" name="Warum wichtig"/>
  </x:tableColumns>
  <x:tableStyleInfo name="TableStyleMedium2" showRowStripes="1"/>
</x:table>
</file>

<file path=xl/tables/table4.xml><?xml version="1.0" encoding="utf-8"?>
<x:table xmlns:x="http://schemas.openxmlformats.org/spreadsheetml/2006/main" id="4" name="TerminalTable" displayName="TerminalTable" ref="A1:E16" headerRowCount="1">
  <x:tableColumns count="5">
    <x:tableColumn id="1" name="Schritt"/>
    <x:tableColumn id="2" name="Shell"/>
    <x:tableColumn id="3" name="Befehl / Vorlage"/>
    <x:tableColumn id="4" name="Zweck"/>
    <x:tableColumn id="5" name="Wichtig"/>
  </x:tableColumns>
  <x:tableStyleInfo name="TableStyleMedium2" showRowStripes="1"/>
</x:table>
</file>

<file path=xl/tables/table5.xml><?xml version="1.0" encoding="utf-8"?>
<x:table xmlns:x="http://schemas.openxmlformats.org/spreadsheetml/2006/main" id="5" name="ChatGPTCodexSetupTable" displayName="ChatGPTCodexSetupTable" ref="A1:F8" headerRowCount="1">
  <x:tableColumns count="6">
    <x:tableColumn id="1" name="Reihenfolge"/>
    <x:tableColumn id="2" name="Setup-Baustein"/>
    <x:tableColumn id="3" name="Ziel"/>
    <x:tableColumn id="4" name="Konkrete Umsetzung"/>
    <x:tableColumn id="5" name="Nicht tun"/>
    <x:tableColumn id="6" name="Quelle"/>
  </x:tableColumns>
  <x:tableStyleInfo name="TableStyleMedium2" showRowStripes="1"/>
</x:table>
</file>

<file path=xl/tables/table6.xml><?xml version="1.0" encoding="utf-8"?>
<x:table xmlns:x="http://schemas.openxmlformats.org/spreadsheetml/2006/main" id="6" name="ProjectInstructionsTable" displayName="ProjectInstructionsTable" ref="A1:B8" headerRowCount="1">
  <x:tableColumns count="2">
    <x:tableColumn id="1" name="Element"/>
    <x:tableColumn id="2" name="Empfehlung / Text"/>
  </x:tableColumns>
  <x:tableStyleInfo name="TableStyleMedium2" showRowStripes="1"/>
</x:table>
</file>

<file path=xl/tables/table7.xml><?xml version="1.0" encoding="utf-8"?>
<x:table xmlns:x="http://schemas.openxmlformats.org/spreadsheetml/2006/main" id="7" name="CodexRulesTable" displayName="CodexRulesTable" ref="A1:F10" headerRowCount="1">
  <x:tableColumns count="6">
    <x:tableColumn id="1" name="Bereich"/>
    <x:tableColumn id="2" name="Regel"/>
    <x:tableColumn id="3" name="Begründung"/>
    <x:tableColumn id="4" name="Erlaubt"/>
    <x:tableColumn id="5" name="Nicht erlaubt"/>
    <x:tableColumn id="6" name="Status"/>
  </x:tableColumns>
  <x:tableStyleInfo name="TableStyleMedium2" showRowStripes="1"/>
</x:table>
</file>

<file path=xl/tables/table8.xml><?xml version="1.0" encoding="utf-8"?>
<x:table xmlns:x="http://schemas.openxmlformats.org/spreadsheetml/2006/main" id="8" name="DocsHandoffTable" displayName="DocsHandoffTable" ref="A1:E12" headerRowCount="1">
  <x:tableColumns count="5">
    <x:tableColumn id="1" name="Datei"/>
    <x:tableColumn id="2" name="Wann erstellen"/>
    <x:tableColumn id="3" name="Inhalt"/>
    <x:tableColumn id="4" name="Warum wichtig"/>
    <x:tableColumn id="5" name="Codex-Regel"/>
  </x:tableColumns>
  <x:tableStyleInfo name="TableStyleMedium2" showRowStripes="1"/>
</x:table>
</file>

<file path=xl/tables/table9.xml><?xml version="1.0" encoding="utf-8"?>
<x:table xmlns:x="http://schemas.openxmlformats.org/spreadsheetml/2006/main" id="9" name="RepoMatrixTable" displayName="RepoMatrixTable" ref="A1:H18" headerRowCount="1">
  <x:tableColumns count="8">
    <x:tableColumn id="1" name="Komponente"/>
    <x:tableColumn id="2" name="Rolle"/>
    <x:tableColumn id="3" name="Pfad"/>
    <x:tableColumn id="4" name="URL"/>
    <x:tableColumn id="5" name="Branch/Version"/>
    <x:tableColumn id="6" name="Risiko"/>
    <x:tableColumn id="7" name="Erster Prüfschritt"/>
    <x:tableColumn id="8" name="Status"/>
  </x:tableColumns>
  <x:tableStyleInfo name="TableStyleMedium2" showRowStripes="1"/>
</x:table>
</file>

<file path=xl/tables/table10.xml><?xml version="1.0" encoding="utf-8"?>
<x:table xmlns:x="http://schemas.openxmlformats.org/spreadsheetml/2006/main" id="10" name="FolderStructureTable" displayName="FolderStructureTable" ref="A1:F23" headerRowCount="1">
  <x:tableColumns count="6">
    <x:tableColumn id="1" name="Nr."/>
    <x:tableColumn id="2" name="Pfad"/>
    <x:tableColumn id="3" name="Git tracked?"/>
    <x:tableColumn id="4" name="Zweck"/>
    <x:tableColumn id="5" name="Regel"/>
    <x:tableColumn id="6" name="Beispielinhalt"/>
  </x:tableColumns>
  <x:tableStyleInfo name="TableStyleMedium2" showRowStripes="1"/>
</x:table>
</file>

<file path=xl/tables/table11.xml><?xml version="1.0" encoding="utf-8"?>
<x:table xmlns:x="http://schemas.openxmlformats.org/spreadsheetml/2006/main" id="11" name="TestMatrixTable" displayName="TestMatrixTable" ref="A1:H22" headerRowCount="1">
  <x:tableColumns count="8">
    <x:tableColumn id="1" name="Test-ID"/>
    <x:tableColumn id="2" name="Bereich"/>
    <x:tableColumn id="3" name="Input"/>
    <x:tableColumn id="4" name="Tool / Befehl"/>
    <x:tableColumn id="5" name="Erwartetes Ergebnis"/>
    <x:tableColumn id="6" name="Status"/>
    <x:tableColumn id="7" name="Nachweis"/>
    <x:tableColumn id="8" name="Notizen"/>
  </x:tableColumns>
  <x:tableStyleInfo name="TableStyleMedium2" showRowStripes="1"/>
</x:table>
</file>

<file path=xl/tables/table12.xml><?xml version="1.0" encoding="utf-8"?>
<x:table xmlns:x="http://schemas.openxmlformats.org/spreadsheetml/2006/main" id="12" name="PromptTemplatesTable" displayName="PromptTemplatesTable" ref="A1:C8" headerRowCount="1">
  <x:tableColumns count="3">
    <x:tableColumn id="1" name="Typ"/>
    <x:tableColumn id="2" name="Name"/>
    <x:tableColumn id="3" name="Template"/>
  </x:tableColumns>
  <x:tableStyleInfo name="TableStyleMedium2" showRowStripes="1"/>
</x:table>
</file>

<file path=xl/tables/table13.xml><?xml version="1.0" encoding="utf-8"?>
<x:table xmlns:x="http://schemas.openxmlformats.org/spreadsheetml/2006/main" id="13" name="SourcesTable" displayName="SourcesTable" ref="A1:E33" headerRowCount="1">
  <x:tableColumns count="5">
    <x:tableColumn id="1" name="Name"/>
    <x:tableColumn id="2" name="Kategorie"/>
    <x:tableColumn id="3" name="URL"/>
    <x:tableColumn id="4" name="Wofür relevant"/>
    <x:tableColumn id="5" name="Abruf-/Planstand"/>
  </x:tableColumns>
  <x:tableStyleInfo name="TableStyleMedium2" showRowStripes="1"/>
</x:table>
</file>

<file path=xl/tables/table14.xml><?xml version="1.0" encoding="utf-8"?>
<x:table xmlns:x="http://schemas.openxmlformats.org/spreadsheetml/2006/main" id="14" name="ListsTable" displayName="ListsTable" ref="A1:C11" headerRowCount="1">
  <x:tableColumns count="3">
    <x:tableColumn id="1" name="Liste"/>
    <x:tableColumn id="2" name="Wert"/>
    <x:tableColumn id="3" name="Bedeutung"/>
  </x:tableColumns>
  <x:tableStyleInfo name="TableStyleMedium2" showRowStripes="1"/>
</x:table>
</file>

<file path=xl/tables/table15.xml><?xml version="1.0" encoding="utf-8"?>
<x:table xmlns:x="http://schemas.openxmlformats.org/spreadsheetml/2006/main" id="15" name="ReproWorkflowTable" displayName="ReproWorkflowTable" ref="A1:F11" headerRowCount="1">
  <x:tableColumns count="6">
    <x:tableColumn id="1" name="Bereich"/>
    <x:tableColumn id="2" name="Pflicht?"/>
    <x:tableColumn id="3" name="Was muss dokumentiert sein?"/>
    <x:tableColumn id="4" name="Datei / Ort"/>
    <x:tableColumn id="5" name="Terminal-Check / Nachweis"/>
    <x:tableColumn id="6" name="Status"/>
  </x:tableColumns>
  <x:tableStyleInfo name="TableStyleMedium2" showRowStripes="1"/>
</x:table>
</file>

<file path=xl/tables/table16.xml><?xml version="1.0" encoding="utf-8"?>
<x:table xmlns:x="http://schemas.openxmlformats.org/spreadsheetml/2006/main" id="16" name="GitSourceTruthTable" displayName="GitSourceTruthTable" ref="A1:E12" headerRowCount="1">
  <x:tableColumns count="5">
    <x:tableColumn id="1" name="Kategorie"/>
    <x:tableColumn id="2" name="Empfehlung"/>
    <x:tableColumn id="3" name="Warum"/>
    <x:tableColumn id="4" name="Konkrete Ablage"/>
    <x:tableColumn id="5" name="Regel für ChatGPT/Codex"/>
  </x:tableColumns>
  <x:tableStyleInfo name="TableStyleMedium2" showRowStripes="1"/>
</x:table>
</file>

<file path=xl/tables/table17.xml><?xml version="1.0" encoding="utf-8"?>
<x:table xmlns:x="http://schemas.openxmlformats.org/spreadsheetml/2006/main" id="17" name="BootstrapTerminalTable" displayName="BootstrapTerminalTable" ref="A1:E11" headerRowCount="1">
  <x:tableColumns count="5">
    <x:tableColumn id="1" name="Block"/>
    <x:tableColumn id="2" name="Shell"/>
    <x:tableColumn id="3" name="Befehl / Vorlage"/>
    <x:tableColumn id="4" name="Zweck"/>
    <x:tableColumn id="5" name="Hinweise"/>
  </x:tableColumns>
  <x:tableStyleInfo name="TableStyleMedium2" showRowStripes="1"/>
</x:table>
</file>

<file path=xl/tables/table18.xml><?xml version="1.0" encoding="utf-8"?>
<x:table xmlns:x="http://schemas.openxmlformats.org/spreadsheetml/2006/main" id="18" name="RepoPublicationModelTable" displayName="RepoPublicationModelTable" ref="A1:E7" headerRowCount="1">
  <x:tableColumns count="5">
    <x:tableColumn id="1" name="Modell"/>
    <x:tableColumn id="2" name="Wann sinnvoll?"/>
    <x:tableColumn id="3" name="Was wird veröffentlicht/getrackt?"/>
    <x:tableColumn id="4" name="Was bleibt lokal/ignoriert?"/>
    <x:tableColumn id="5" name="Empfehlu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2b40f945484856" /></Relationships>
</file>

<file path=xl/worksheets/_rels/sheet2.xml.rels>&#65279;<?xml version="1.0" encoding="utf-8"?><Relationships xmlns="http://schemas.openxmlformats.org/package/2006/relationships"><Relationship Type="http://schemas.openxmlformats.org/officeDocument/2006/relationships/table" Target="/xl/tables/table2.xml" Id="R0331913800a84f9c" /></Relationships>
</file>

<file path=xl/worksheets/_rels/sheet3.xml.rels>&#65279;<?xml version="1.0" encoding="utf-8"?><Relationships xmlns="http://schemas.openxmlformats.org/package/2006/relationships"><Relationship Type="http://schemas.openxmlformats.org/officeDocument/2006/relationships/table" Target="/xl/tables/table3.xml" Id="R40f4ab9cee05419d" /></Relationships>
</file>

<file path=xl/worksheets/_rels/sheet4.xml.rels>&#65279;<?xml version="1.0" encoding="utf-8"?><Relationships xmlns="http://schemas.openxmlformats.org/package/2006/relationships"><Relationship Type="http://schemas.openxmlformats.org/officeDocument/2006/relationships/table" Target="/xl/tables/table4.xml" Id="R4e80828c41d748fb" /></Relationships>
</file>

<file path=xl/worksheets/_rels/sheet5.xml.rels>&#65279;<?xml version="1.0" encoding="utf-8"?><Relationships xmlns="http://schemas.openxmlformats.org/package/2006/relationships"><Relationship Type="http://schemas.openxmlformats.org/officeDocument/2006/relationships/table" Target="/xl/tables/table5.xml" Id="R6118f750ffed4fd3" /></Relationships>
</file>

<file path=xl/worksheets/_rels/sheet6.xml.rels>&#65279;<?xml version="1.0" encoding="utf-8"?><Relationships xmlns="http://schemas.openxmlformats.org/package/2006/relationships"><Relationship Type="http://schemas.openxmlformats.org/officeDocument/2006/relationships/table" Target="/xl/tables/table6.xml" Id="R9bdf25b1025140e3" /></Relationships>
</file>

<file path=xl/worksheets/_rels/sheet7.xml.rels>&#65279;<?xml version="1.0" encoding="utf-8"?><Relationships xmlns="http://schemas.openxmlformats.org/package/2006/relationships"><Relationship Type="http://schemas.openxmlformats.org/officeDocument/2006/relationships/table" Target="/xl/tables/table7.xml" Id="Rf95cabd84f014fff" /></Relationships>
</file>

<file path=xl/worksheets/_rels/sheet8.xml.rels>&#65279;<?xml version="1.0" encoding="utf-8"?><Relationships xmlns="http://schemas.openxmlformats.org/package/2006/relationships"><Relationship Type="http://schemas.openxmlformats.org/officeDocument/2006/relationships/table" Target="/xl/tables/table8.xml" Id="Re88affb2f8e24019" /></Relationships>
</file>

<file path=xl/worksheets/_rels/sheet9.xml.rels>&#65279;<?xml version="1.0" encoding="utf-8"?><Relationships xmlns="http://schemas.openxmlformats.org/package/2006/relationships"><Relationship Type="http://schemas.openxmlformats.org/officeDocument/2006/relationships/table" Target="/xl/tables/table9.xml" Id="R2540c04d331a49f4" /></Relationships>
</file>

<file path=xl/worksheets/_rels/sheet10.xml.rels>&#65279;<?xml version="1.0" encoding="utf-8"?><Relationships xmlns="http://schemas.openxmlformats.org/package/2006/relationships"><Relationship Type="http://schemas.openxmlformats.org/officeDocument/2006/relationships/table" Target="/xl/tables/table10.xml" Id="R24e1ab44aab04fa0" /></Relationships>
</file>

<file path=xl/worksheets/_rels/sheet11.xml.rels>&#65279;<?xml version="1.0" encoding="utf-8"?><Relationships xmlns="http://schemas.openxmlformats.org/package/2006/relationships"><Relationship Type="http://schemas.openxmlformats.org/officeDocument/2006/relationships/table" Target="/xl/tables/table11.xml" Id="Ra16ed33c4ac347aa" /></Relationships>
</file>

<file path=xl/worksheets/_rels/sheet12.xml.rels>&#65279;<?xml version="1.0" encoding="utf-8"?><Relationships xmlns="http://schemas.openxmlformats.org/package/2006/relationships"><Relationship Type="http://schemas.openxmlformats.org/officeDocument/2006/relationships/table" Target="/xl/tables/table12.xml" Id="R8296409910c84db3" /></Relationships>
</file>

<file path=xl/worksheets/_rels/sheet13.xml.rels>&#65279;<?xml version="1.0" encoding="utf-8"?><Relationships xmlns="http://schemas.openxmlformats.org/package/2006/relationships"><Relationship Type="http://schemas.openxmlformats.org/officeDocument/2006/relationships/table" Target="/xl/tables/table13.xml" Id="Rf7602d7d11214960" /></Relationships>
</file>

<file path=xl/worksheets/_rels/sheet14.xml.rels>&#65279;<?xml version="1.0" encoding="utf-8"?><Relationships xmlns="http://schemas.openxmlformats.org/package/2006/relationships"><Relationship Type="http://schemas.openxmlformats.org/officeDocument/2006/relationships/table" Target="/xl/tables/table14.xml" Id="Re5b813db45ca480c" /></Relationships>
</file>

<file path=xl/worksheets/_rels/sheet15.xml.rels>&#65279;<?xml version="1.0" encoding="utf-8"?><Relationships xmlns="http://schemas.openxmlformats.org/package/2006/relationships"><Relationship Type="http://schemas.openxmlformats.org/officeDocument/2006/relationships/table" Target="/xl/tables/table15.xml" Id="R973acb701b1a4396" /></Relationships>
</file>

<file path=xl/worksheets/_rels/sheet16.xml.rels>&#65279;<?xml version="1.0" encoding="utf-8"?><Relationships xmlns="http://schemas.openxmlformats.org/package/2006/relationships"><Relationship Type="http://schemas.openxmlformats.org/officeDocument/2006/relationships/table" Target="/xl/tables/table16.xml" Id="R4cca564c1b7e42e7" /></Relationships>
</file>

<file path=xl/worksheets/_rels/sheet17.xml.rels>&#65279;<?xml version="1.0" encoding="utf-8"?><Relationships xmlns="http://schemas.openxmlformats.org/package/2006/relationships"><Relationship Type="http://schemas.openxmlformats.org/officeDocument/2006/relationships/table" Target="/xl/tables/table17.xml" Id="R8affb94db5a14e91" /></Relationships>
</file>

<file path=xl/worksheets/_rels/sheet18.xml.rels>&#65279;<?xml version="1.0" encoding="utf-8"?><Relationships xmlns="http://schemas.openxmlformats.org/package/2006/relationships"><Relationship Type="http://schemas.openxmlformats.org/officeDocument/2006/relationships/table" Target="/xl/tables/table18.xml" Id="Refa99fc417114256"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9" hidden="0" customWidth="1"/>
    <x:col min="4" max="4" width="28" hidden="0" customWidth="1"/>
    <x:col min="5" max="5" width="38" hidden="0" customWidth="1"/>
    <x:col min="6" max="6" width="16" hidden="0" customWidth="1"/>
    <x:col min="7" max="7" width="12" hidden="0" customWidth="1"/>
    <x:col min="8" max="8" width="16" hidden="0" customWidth="1"/>
    <x:col min="9" max="9" width="18" hidden="0" customWidth="1"/>
    <x:col min="10" max="10" width="42" hidden="0" customWidth="1"/>
    <x:col min="11" max="11" width="30" hidden="0" customWidth="1"/>
    <x:col min="12" max="12" width="30" hidden="0" customWidth="1"/>
    <x:col min="13" max="13" width="36" hidden="0" customWidth="1"/>
    <x:col min="14" max="14" width="32" hidden="0" customWidth="1"/>
    <x:col min="15" max="15" width="34" hidden="0" customWidth="1"/>
  </x:cols>
  <x:sheetData>
    <x:row r="1" ht="24" customHeight="1">
      <x:c r="A1" s="18" t="str">
        <x:v>Nr.</x:v>
      </x:c>
      <x:c r="B1" s="19" t="str">
        <x:v>Paket</x:v>
      </x:c>
      <x:c r="C1" s="19" t="str">
        <x:v>Task-ID</x:v>
      </x:c>
      <x:c r="D1" s="19" t="str">
        <x:v>Aufgabe</x:v>
      </x:c>
      <x:c r="E1" s="19" t="str">
        <x:v>Ziel / Ergebnis</x:v>
      </x:c>
      <x:c r="F1" s="19" t="str">
        <x:v>Status</x:v>
      </x:c>
      <x:c r="G1" s="19" t="str">
        <x:v>Fortschritt</x:v>
      </x:c>
      <x:c r="H1" s="19" t="str">
        <x:v>Verantwortlich</x:v>
      </x:c>
      <x:c r="I1" s="19" t="str">
        <x:v>Arbeitsschrittgröße</x:v>
      </x:c>
      <x:c r="J1" s="19" t="str">
        <x:v>Terminal / ChatGPT / Codex-Hinweis</x:v>
      </x:c>
      <x:c r="K1" s="19" t="str">
        <x:v>Codex darf</x:v>
      </x:c>
      <x:c r="L1" s="19" t="str">
        <x:v>Codex darf nicht</x:v>
      </x:c>
      <x:c r="M1" s="19" t="str">
        <x:v>Abnahmekriterium</x:v>
      </x:c>
      <x:c r="N1" s="19" t="str">
        <x:v>Nachweis / Datei</x:v>
      </x:c>
      <x:c r="O1" s="20" t="str">
        <x:v>Quelle / Referenz</x:v>
      </x:c>
    </x:row>
    <x:row r="2" ht="48" customHeight="1">
      <x:c r="A2" s="40" t="n">
        <x:v>1</x:v>
      </x:c>
      <x:c r="B2" s="22" t="str">
        <x:v>01 Projektmodus &amp; Agent-Governance</x:v>
      </x:c>
      <x:c r="C2" s="44" t="str">
        <x:v>01.01</x:v>
      </x:c>
      <x:c r="D2" s="22" t="str">
        <x:v>ChatGPT-Projekt anlegen</x:v>
      </x:c>
      <x:c r="E2" s="22" t="str">
        <x:v>Projekt ist als dauerhafter Kontextspeicher für Roadmap, Quellen, Prompts und Handoff-Dokumente vorbereitet.</x:v>
      </x:c>
      <x:c r="F2" s="44" t="str">
        <x:v>Erledigt</x:v>
      </x:c>
      <x:c r="G2" s="48" t="n">
        <x:v>100</x:v>
      </x:c>
      <x:c r="H2" s="44" t="str">
        <x:v>Du</x:v>
      </x:c>
      <x:c r="I2" s="44" t="str">
        <x:v>Sehr klein</x:v>
      </x:c>
      <x:c r="J2" s="22" t="str">
        <x:v>Projektname: FireRed Gen9 Randomizer Workspace. Projekt-Instructions aus Sheet Projekt_Instructions übernehmen.</x:v>
      </x:c>
      <x:c r="K2" s="22" t="str">
        <x:v>Projekt-Instructions prüfen und später auf Basis neuer Erkenntnisse präzisieren.</x:v>
      </x:c>
      <x:c r="L2" s="22" t="str">
        <x:v>ROMs, Saves, Builds, private Pfade oder fremde Assets hochladen.</x:v>
      </x:c>
      <x:c r="M2" s="22" t="str">
        <x:v>Projekt existiert; Projekt-Instructions gesetzt; Checkliste v3 hochgeladen.</x:v>
      </x:c>
      <x:c r="N2" s="22" t="str">
        <x:v>ChatGPT Project Settings</x:v>
      </x:c>
      <x:c r="O2" s="23" t="str">
        <x:v>https://help.openai.com/en/articles/10169521-projects-in-chatgpt</x:v>
      </x:c>
    </x:row>
    <x:row r="3" ht="48" customHeight="1">
      <x:c r="A3" s="40" t="n">
        <x:v>2</x:v>
      </x:c>
      <x:c r="B3" s="22" t="str">
        <x:v>01 Projektmodus &amp; Agent-Governance</x:v>
      </x:c>
      <x:c r="C3" s="44" t="str">
        <x:v>01.02</x:v>
      </x:c>
      <x:c r="D3" s="22" t="str">
        <x:v>Projektdateien für ChatGPT definieren</x:v>
      </x:c>
      <x:c r="E3" s="22" t="str">
        <x:v>Nur stabile Kontextdateien werden im Projekt abgelegt; aktuelle Arbeit bleibt über Handoff-Dokumente nachvollziehbar.</x:v>
      </x:c>
      <x:c r="F3" s="44" t="str">
        <x:v>Erledigt</x:v>
      </x:c>
      <x:c r="G3" s="48" t="n">
        <x:v>100</x:v>
      </x:c>
      <x:c r="H3" s="44" t="str">
        <x:v>Du + ChatGPT</x:v>
      </x:c>
      <x:c r="I3" s="44" t="str">
        <x:v>Sehr klein</x:v>
      </x:c>
      <x:c r="J3" s="22" t="str">
        <x:v>Erlaubt: README, AGENTS.md, tool-manifest, decision logs, SESSION_STATE.md, NEXT_STEPS.md, Excel.</x:v>
      </x:c>
      <x:c r="K3" s="22" t="str">
        <x:v>Dateiliste formulieren und nach jedem Meilenstein aktualisieren.</x:v>
      </x:c>
      <x:c r="L3" s="22" t="str">
        <x:v>ROMs/Saves/Builds/Tool-ZIPs hochladen; Chatverlauf als einzige Quelle nutzen.</x:v>
      </x:c>
      <x:c r="M3" s="22" t="str">
        <x:v>01_docs/chatgpt-project-files.md beschreibt erlaubte/verbotene Projektdateien.</x:v>
      </x:c>
      <x:c r="N3" s="22" t="str">
        <x:v>01_docs/chatgpt-project-files.md</x:v>
      </x:c>
      <x:c r="O3" s="23" t="str">
        <x:v>https://openai.com/academy/projects/</x:v>
      </x:c>
    </x:row>
    <x:row r="4" ht="48" customHeight="1">
      <x:c r="A4" s="40" t="n">
        <x:v>3</x:v>
      </x:c>
      <x:c r="B4" s="22" t="str">
        <x:v>01 Projektmodus &amp; Agent-Governance</x:v>
      </x:c>
      <x:c r="C4" s="44" t="str">
        <x:v>01.03</x:v>
      </x:c>
      <x:c r="D4" s="22" t="str">
        <x:v>AGENTS.md erstellen</x:v>
      </x:c>
      <x:c r="E4" s="22" t="str">
        <x:v>Codex kennt No-ROM-Regel, Arbeitsgröße, Reviewformat, Terminalpräferenz und erlaubte Pfade direkt im Repo.</x:v>
      </x:c>
      <x:c r="F4" s="44" t="str">
        <x:v>Erledigt</x:v>
      </x:c>
      <x:c r="G4" s="48" t="n">
        <x:v>100</x:v>
      </x:c>
      <x:c r="H4" s="44" t="str">
        <x:v>Du + Codex</x:v>
      </x:c>
      <x:c r="I4" s="44" t="str">
        <x:v>Klein</x:v>
      </x:c>
      <x:c r="J4" s="22" t="str">
        <x:v>Codex-Prompt: 'Erstelle nur AGENTS.md aus den Regeln. Keine Builds, keine ROMs, keine externen Downloads.'</x:v>
      </x:c>
      <x:c r="K4" s="22" t="str">
        <x:v>AGENTS.md, README, 01_docs/setup/codex.md schreiben.</x:v>
      </x:c>
      <x:c r="L4" s="22" t="str">
        <x:v>Code, ROMs, Builds oder Vendor-Repos bearbeiten.</x:v>
      </x:c>
      <x:c r="M4" s="22" t="str">
        <x:v>AGENTS.md enthält Scope, Allow/Deny, Outputformat, Testpflicht und Handoff-Regel.</x:v>
      </x:c>
      <x:c r="N4" s="22" t="str">
        <x:v>AGENTS.md</x:v>
      </x:c>
      <x:c r="O4" s="23" t="str">
        <x:v>https://developers.openai.com/codex/guides/agents-md</x:v>
      </x:c>
    </x:row>
    <x:row r="5" ht="48" customHeight="1">
      <x:c r="A5" s="40" t="n">
        <x:v>4</x:v>
      </x:c>
      <x:c r="B5" s="22" t="str">
        <x:v>01 Projektmodus &amp; Agent-Governance</x:v>
      </x:c>
      <x:c r="C5" s="44" t="str">
        <x:v>01.04</x:v>
      </x:c>
      <x:c r="D5" s="22" t="str">
        <x:v>.codex/config.toml vorbereiten</x:v>
      </x:c>
      <x:c r="E5" s="22" t="str">
        <x:v>Codex läuft konservativ: workspace-write, approval on-request, Netzwerk/MCP nur gezielt.</x:v>
      </x:c>
      <x:c r="F5" s="44" t="str">
        <x:v>Noch offen</x:v>
      </x:c>
      <x:c r="G5" s="48" t="n">
        <x:v>0</x:v>
      </x:c>
      <x:c r="H5" s="44" t="str">
        <x:v>Du + Codex</x:v>
      </x:c>
      <x:c r="I5" s="44" t="str">
        <x:v>Klein</x:v>
      </x:c>
      <x:c r="J5" s="22" t="str">
        <x:v>Config in 00_project-control/.codex/ oder repo-root/.codex anlegen; konkrete Pfade dokumentieren.</x:v>
      </x:c>
      <x:c r="K5" s="22" t="str">
        <x:v>Config schreiben, aber keine riskanten Freigaben aktivieren.</x:v>
      </x:c>
      <x:c r="L5" s="22" t="str">
        <x:v>approval_policy never oder full access für ROM-/Git-Aktionen setzen.</x:v>
      </x:c>
      <x:c r="M5" s="22" t="str">
        <x:v>Codex startet im Workspace und fordert Approval für riskante Aktionen.</x:v>
      </x:c>
      <x:c r="N5" s="22" t="str">
        <x:v>.codex/config.toml; 01_docs/setup/codex.md</x:v>
      </x:c>
      <x:c r="O5" s="23" t="str">
        <x:v>https://developers.openai.com/codex/cli</x:v>
      </x:c>
    </x:row>
    <x:row r="6" ht="48" customHeight="1">
      <x:c r="A6" s="40" t="n">
        <x:v>5</x:v>
      </x:c>
      <x:c r="B6" s="22" t="str">
        <x:v>01 Projektmodus &amp; Agent-Governance</x:v>
      </x:c>
      <x:c r="C6" s="44" t="str">
        <x:v>01.05</x:v>
      </x:c>
      <x:c r="D6" s="22" t="str">
        <x:v>Terminal-first Arbeitsweise dokumentieren</x:v>
      </x:c>
      <x:c r="E6" s="22" t="str">
        <x:v>Downloads, Ordner, Clone, Checks und Builds werden bevorzugt als Terminalbefehle dokumentiert.</x:v>
      </x:c>
      <x:c r="F6" s="44" t="str">
        <x:v>Review/Test</x:v>
      </x:c>
      <x:c r="G6" s="48" t="n">
        <x:v>70</x:v>
      </x:c>
      <x:c r="H6" s="44" t="str">
        <x:v>ChatGPT</x:v>
      </x:c>
      <x:c r="I6" s="44" t="str">
        <x:v>Klein</x:v>
      </x:c>
      <x:c r="J6" s="22" t="str">
        <x:v>Terminal_Setup-Sheet als Vorlage; später 01_docs/setup/terminal-commands.md erzeugen.</x:v>
      </x:c>
      <x:c r="K6" s="22" t="str">
        <x:v>Terminalbefehle formulieren und erklären.</x:v>
      </x:c>
      <x:c r="L6" s="22" t="str">
        <x:v>Ungeprüfte Copy-Paste-Kommandos ohne Zweck/Risiko ausführen lassen.</x:v>
      </x:c>
      <x:c r="M6" s="22" t="str">
        <x:v>01_docs/setup/terminal-commands.md enthält Git Bash und PowerShell-Varianten.</x:v>
      </x:c>
      <x:c r="N6" s="22" t="str">
        <x:v>01_docs/setup/terminal-commands.md</x:v>
      </x:c>
      <x:c r="O6" s="23"/>
    </x:row>
    <x:row r="7" ht="48" customHeight="1">
      <x:c r="A7" s="40" t="n">
        <x:v>6</x:v>
      </x:c>
      <x:c r="B7" s="22" t="str">
        <x:v>01 Projektmodus &amp; Agent-Governance</x:v>
      </x:c>
      <x:c r="C7" s="44" t="str">
        <x:v>01.06</x:v>
      </x:c>
      <x:c r="D7" s="22" t="str">
        <x:v>Session-Handoff-Dokumente anlegen</x:v>
      </x:c>
      <x:c r="E7" s="22" t="str">
        <x:v>Neue Chats/Sessions verstehen das Projekt ohne alten Chatverlauf.</x:v>
      </x:c>
      <x:c r="F7" s="44" t="str">
        <x:v>Erledigt</x:v>
      </x:c>
      <x:c r="G7" s="48" t="n">
        <x:v>100</x:v>
      </x:c>
      <x:c r="H7" s="44" t="str">
        <x:v>Du + Codex</x:v>
      </x:c>
      <x:c r="I7" s="44" t="str">
        <x:v>Klein</x:v>
      </x:c>
      <x:c r="J7" s="22" t="str">
        <x:v>Erzeuge 01_docs/PROJECT_BRIEF.md, 01_docs/SESSION_STATE.md, 01_docs/NEXT_STEPS.md, 01_docs/DECISIONS_INDEX.md.</x:v>
      </x:c>
      <x:c r="K7" s="22" t="str">
        <x:v>Nur Handoff-/Docs-Dateien anlegen.</x:v>
      </x:c>
      <x:c r="L7" s="22" t="str">
        <x:v>Projektwissen ausschließlich in Chatnachrichten lassen.</x:v>
      </x:c>
      <x:c r="M7" s="22" t="str">
        <x:v>Vier Handoff-Dokumente existieren und werden in AGENTS.md als Pflicht erwähnt.</x:v>
      </x:c>
      <x:c r="N7" s="22" t="str">
        <x:v>01_docs/PROJECT_BRIEF.md; 01_docs/SESSION_STATE.md; 01_docs/NEXT_STEPS.md</x:v>
      </x:c>
      <x:c r="O7" s="23" t="str">
        <x:v>https://developers.openai.com/codex/concepts/customization</x:v>
      </x:c>
    </x:row>
    <x:row r="8" ht="48" customHeight="1">
      <x:c r="A8" s="40" t="n">
        <x:v>7</x:v>
      </x:c>
      <x:c r="B8" s="22" t="str">
        <x:v>01 Projektmodus &amp; Agent-Governance</x:v>
      </x:c>
      <x:c r="C8" s="44" t="str">
        <x:v>01.07</x:v>
      </x:c>
      <x:c r="D8" s="22" t="str">
        <x:v>Ersten Codex-Dry-Run ohne ROM durchführen</x:v>
      </x:c>
      <x:c r="E8" s="22" t="str">
        <x:v>Codex beweist, dass er Anweisungen liest, Scope einhält und nur Docs anfasst.</x:v>
      </x:c>
      <x:c r="F8" s="44" t="str">
        <x:v>Noch offen</x:v>
      </x:c>
      <x:c r="G8" s="48" t="n">
        <x:v>0</x:v>
      </x:c>
      <x:c r="H8" s="44" t="str">
        <x:v>Du + Codex</x:v>
      </x:c>
      <x:c r="I8" s="44" t="str">
        <x:v>Sehr klein</x:v>
      </x:c>
      <x:c r="J8" s="22" t="str">
        <x:v>Prompt: 'Lies AGENTS.md und fasse aktive Regeln, erlaubte Pfade und verbotene Pfade zusammen. Keine Dateien ändern.'</x:v>
      </x:c>
      <x:c r="K8" s="22" t="str">
        <x:v>Workspace lesen, Regeln zusammenfassen.</x:v>
      </x:c>
      <x:c r="L8" s="22" t="str">
        <x:v>Dateien ändern, Downloads starten, Git-Operationen ausführen.</x:v>
      </x:c>
      <x:c r="M8" s="22" t="str">
        <x:v>Codex nennt AGENTS.md/Projektregeln korrekt und schlägt keinen Build vor.</x:v>
      </x:c>
      <x:c r="N8" s="22" t="str">
        <x:v>01_docs/setup/codex-dry-run.md</x:v>
      </x:c>
      <x:c r="O8" s="23" t="str">
        <x:v>https://developers.openai.com/codex/guides/agents-md</x:v>
      </x:c>
    </x:row>
    <x:row r="9" ht="48" customHeight="1">
      <x:c r="A9" s="40" t="n">
        <x:v>8</x:v>
      </x:c>
      <x:c r="B9" s="22" t="str">
        <x:v>01 Projektmodus &amp; Agent-Governance</x:v>
      </x:c>
      <x:c r="C9" s="44" t="str">
        <x:v>01.08</x:v>
      </x:c>
      <x:c r="D9" s="22" t="str">
        <x:v>Git-Workflow und Review-Format festlegen</x:v>
      </x:c>
      <x:c r="E9" s="22" t="str">
        <x:v>Branchnamen, Commit-Regeln, PR-Template und Review-Checkliste sind klar.</x:v>
      </x:c>
      <x:c r="F9" s="44" t="str">
        <x:v>Als Nächstes</x:v>
      </x:c>
      <x:c r="G9" s="48" t="n">
        <x:v>10</x:v>
      </x:c>
      <x:c r="H9" s="44" t="str">
        <x:v>Du + Codex</x:v>
      </x:c>
      <x:c r="I9" s="44" t="str">
        <x:v>Klein</x:v>
      </x:c>
      <x:c r="J9" s="22" t="str">
        <x:v>Erzeuge 01_docs/setup/git-workflow.md und .github/pull_request_template.md.</x:v>
      </x:c>
      <x:c r="K9" s="22" t="str">
        <x:v>Docs und Templates erstellen.</x:v>
      </x:c>
      <x:c r="L9" s="22" t="str">
        <x:v>Push, Merge, Force-Push oder Release ohne Auftrag.</x:v>
      </x:c>
      <x:c r="M9" s="22" t="str">
        <x:v>PR-Template fragt Scope, Dateien, Tests, Risiken, ROM-Policy ab.</x:v>
      </x:c>
      <x:c r="N9" s="22" t="str">
        <x:v>01_docs/setup/git-workflow.md; .github/pull_request_template.md</x:v>
      </x:c>
      <x:c r="O9" s="23"/>
    </x:row>
    <x:row r="10" ht="48" customHeight="1">
      <x:c r="A10" s="40" t="n">
        <x:v>9</x:v>
      </x:c>
      <x:c r="B10" s="22" t="str">
        <x:v>01 Projektmodus &amp; Agent-Governance</x:v>
      </x:c>
      <x:c r="C10" s="44" t="str">
        <x:v>01.09</x:v>
      </x:c>
      <x:c r="D10" s="22" t="str">
        <x:v>CI ohne private ROMs planen</x:v>
      </x:c>
      <x:c r="E10" s="22" t="str">
        <x:v>Automatisierte Checks laufen ohne proprietäre ROMs; ROM-Builds bleiben lokal/manuell.</x:v>
      </x:c>
      <x:c r="F10" s="44" t="str">
        <x:v>Noch offen</x:v>
      </x:c>
      <x:c r="G10" s="48" t="n">
        <x:v>0</x:v>
      </x:c>
      <x:c r="H10" s="44" t="str">
        <x:v>Codex</x:v>
      </x:c>
      <x:c r="I10" s="44" t="str">
        <x:v>Mittel</x:v>
      </x:c>
      <x:c r="J10" s="22" t="str">
        <x:v>Nur Docs/Scripts/Randomizer-Tests ohne ROM in CI; ROM_PATH-basierte Builds lokal.</x:v>
      </x:c>
      <x:c r="K10" s="22" t="str">
        <x:v>CI-Plan und ggf. workflow skeleton schreiben.</x:v>
      </x:c>
      <x:c r="L10" s="22" t="str">
        <x:v>ROMs in CI-Secrets laden oder private ROMs in Testfixtures verstecken.</x:v>
      </x:c>
      <x:c r="M10" s="22" t="str">
        <x:v>CI-Dokument nennt, was automatisiert ist und was lokal bleibt.</x:v>
      </x:c>
      <x:c r="N10" s="22" t="str">
        <x:v>01_docs/setup/ci.md; .github/workflows/checks.yml</x:v>
      </x:c>
      <x:c r="O10" s="23"/>
    </x:row>
    <x:row r="11" ht="48" customHeight="1">
      <x:c r="A11" s="40" t="n">
        <x:v>10</x:v>
      </x:c>
      <x:c r="B11" s="22" t="str">
        <x:v>02 Terminal-Workspace aufbauen</x:v>
      </x:c>
      <x:c r="C11" s="44" t="str">
        <x:v>02.01</x:v>
      </x:c>
      <x:c r="D11" s="22" t="str">
        <x:v>Workspace-Root per Terminal erstellen</x:v>
      </x:c>
      <x:c r="E11" s="22" t="str">
        <x:v>fr-rando-gen9 ist als Root angelegt; JetBrains, Git und Codex öffnen genau diesen Ordner.</x:v>
      </x:c>
      <x:c r="F11" s="44" t="str">
        <x:v>Erledigt</x:v>
      </x:c>
      <x:c r="G11" s="48" t="n">
        <x:v>100</x:v>
      </x:c>
      <x:c r="H11" s="44" t="str">
        <x:v>Du</x:v>
      </x:c>
      <x:c r="I11" s="44" t="str">
        <x:v>Sehr klein</x:v>
      </x:c>
      <x:c r="J11" s="22" t="str">
        <x:v>Git Bash: mkdir -p ~/romhacking/fr-rando-gen9 &amp;&amp; cd ~/romhacking/fr-rando-gen9</x:v>
      </x:c>
      <x:c r="K11" s="22" t="str">
        <x:v>Terminalbefehle ausführen, tree dokumentieren.</x:v>
      </x:c>
      <x:c r="L11" s="22" t="str">
        <x:v>Einzelne Vendor-Repos direkt als Hauptprojekt öffnen.</x:v>
      </x:c>
      <x:c r="M11" s="22" t="str">
        <x:v>pwd/tree zeigt Workspace-Root; keine ROMs im Root.</x:v>
      </x:c>
      <x:c r="N11" s="22" t="str">
        <x:v>01_docs/setup/workspace-tree.md</x:v>
      </x:c>
      <x:c r="O11" s="23"/>
    </x:row>
    <x:row r="12" ht="48" customHeight="1">
      <x:c r="A12" s="40" t="n">
        <x:v>11</x:v>
      </x:c>
      <x:c r="B12" s="22" t="str">
        <x:v>02 Terminal-Workspace aufbauen</x:v>
      </x:c>
      <x:c r="C12" s="44" t="str">
        <x:v>02.02</x:v>
      </x:c>
      <x:c r="D12" s="22" t="str">
        <x:v>Git initialisieren</x:v>
      </x:c>
      <x:c r="E12" s="22" t="str">
        <x:v>Eigenes Projekt-Repo ist sauber initialisiert, ohne externe Repos oder ROMs.</x:v>
      </x:c>
      <x:c r="F12" s="44" t="str">
        <x:v>Erledigt</x:v>
      </x:c>
      <x:c r="G12" s="48" t="n">
        <x:v>100</x:v>
      </x:c>
      <x:c r="H12" s="44" t="str">
        <x:v>Du</x:v>
      </x:c>
      <x:c r="I12" s="44" t="str">
        <x:v>Sehr klein</x:v>
      </x:c>
      <x:c r="J12" s="22" t="str">
        <x:v>git init &amp;&amp; git checkout -b setup/initial-workspace</x:v>
      </x:c>
      <x:c r="K12" s="22" t="str">
        <x:v>Repo initialisieren, initiale Docs committen.</x:v>
      </x:c>
      <x:c r="L12" s="22" t="str">
        <x:v>Vendor-Code ungeprüft in den ersten Commit mischen.</x:v>
      </x:c>
      <x:c r="M12" s="22" t="str">
        <x:v>git status sauber; erster Branch existiert.</x:v>
      </x:c>
      <x:c r="N12" s="22" t="str">
        <x:v>git log; 01_docs/setup/git-workflow.md</x:v>
      </x:c>
      <x:c r="O12" s="23"/>
    </x:row>
    <x:row r="13" ht="48" customHeight="1">
      <x:c r="A13" s="40" t="n">
        <x:v>12</x:v>
      </x:c>
      <x:c r="B13" s="22" t="str">
        <x:v>02 Terminal-Workspace aufbauen</x:v>
      </x:c>
      <x:c r="C13" s="44" t="str">
        <x:v>02.03</x:v>
      </x:c>
      <x:c r="D13" s="22" t="str">
        <x:v>.gitignore No-ROM/Binary anlegen</x:v>
      </x:c>
      <x:c r="E13" s="22" t="str">
        <x:v>ROMs, Saves, Builds, Emulatorstates, Tool-ZIPs und private Ordner sind geschützt.</x:v>
      </x:c>
      <x:c r="F13" s="44" t="str">
        <x:v>Erledigt</x:v>
      </x:c>
      <x:c r="G13" s="48" t="n">
        <x:v>100</x:v>
      </x:c>
      <x:c r="H13" s="44" t="str">
        <x:v>Du + Codex</x:v>
      </x:c>
      <x:c r="I13" s="44" t="str">
        <x:v>Klein</x:v>
      </x:c>
      <x:c r="J13" s="22" t="str">
        <x:v>cat &gt; .gitignore &lt;&lt;'EOF' ... EOF; anschließend git status mit Testdateien prüfen.</x:v>
      </x:c>
      <x:c r="K13" s="22" t="str">
        <x:v>.gitignore, README-Hinweis schreiben.</x:v>
      </x:c>
      <x:c r="L13" s="22" t="str">
        <x:v>Private ROMs anfassen oder hochladen.</x:v>
      </x:c>
      <x:c r="M13" s="22" t="str">
        <x:v>git status zeigt Test-ROMs/Saves/Builds nicht als tracked.</x:v>
      </x:c>
      <x:c r="N13" s="22" t="str">
        <x:v>.gitignore; 01_docs/decisions/distribution-policy.md</x:v>
      </x:c>
      <x:c r="O13" s="23"/>
    </x:row>
    <x:row r="14" ht="48" customHeight="1">
      <x:c r="A14" s="40" t="n">
        <x:v>13</x:v>
      </x:c>
      <x:c r="B14" s="22" t="str">
        <x:v>02 Terminal-Workspace aufbauen</x:v>
      </x:c>
      <x:c r="C14" s="44" t="str">
        <x:v>02.04</x:v>
      </x:c>
      <x:c r="D14" s="22" t="str">
        <x:v>Nummerierte Ordnerstruktur anlegen</x:v>
      </x:c>
      <x:c r="E14" s="22" t="str">
        <x:v>00/01/02/... Struktur existiert und passt zu ChatGPT, Codex und JetBrains.</x:v>
      </x:c>
      <x:c r="F14" s="44" t="str">
        <x:v>Review/Test</x:v>
      </x:c>
      <x:c r="G14" s="48" t="n">
        <x:v>80</x:v>
      </x:c>
      <x:c r="H14" s="44" t="str">
        <x:v>Du + Codex</x:v>
      </x:c>
      <x:c r="I14" s="44" t="str">
        <x:v>Klein</x:v>
      </x:c>
      <x:c r="J14" s="22" t="str">
        <x:v>mkdir -p 00_project-control 01_docs/{references,decisions,setup,randomizer,ironmon} 02_external 03_tools/releases 04_private_roms 05_builds 06_patches 07_scripts/build 08_tests</x:v>
      </x:c>
      <x:c r="K14" s="22" t="str">
        <x:v>Ordner und README Platzhalter erzeugen.</x:v>
      </x:c>
      <x:c r="L14" s="22" t="str">
        <x:v>ROM-/Buildordner tracken oder Vendor-Pfade unklar mischen.</x:v>
      </x:c>
      <x:c r="M14" s="22" t="str">
        <x:v>tree-Ausgabe entspricht Ordnerstruktur-Sheet.</x:v>
      </x:c>
      <x:c r="N14" s="22" t="str">
        <x:v>01_docs/setup/workspace-tree.md</x:v>
      </x:c>
      <x:c r="O14" s="23"/>
    </x:row>
    <x:row r="15" ht="48" customHeight="1">
      <x:c r="A15" s="40" t="n">
        <x:v>14</x:v>
      </x:c>
      <x:c r="B15" s="22" t="str">
        <x:v>02 Terminal-Workspace aufbauen</x:v>
      </x:c>
      <x:c r="C15" s="44" t="str">
        <x:v>02.05</x:v>
      </x:c>
      <x:c r="D15" s="22" t="str">
        <x:v>Tool-/Commit-Manifest anlegen</x:v>
      </x:c>
      <x:c r="E15" s="22" t="str">
        <x:v>Jede externe Quelle hat URL, Branch, Commit, Release/Version, Abrufdatum und Zweck.</x:v>
      </x:c>
      <x:c r="F15" s="44" t="str">
        <x:v>Erledigt</x:v>
      </x:c>
      <x:c r="G15" s="48" t="n">
        <x:v>100</x:v>
      </x:c>
      <x:c r="H15" s="44" t="str">
        <x:v>Codex</x:v>
      </x:c>
      <x:c r="I15" s="44" t="str">
        <x:v>Klein</x:v>
      </x:c>
      <x:c r="J15" s="22" t="str">
        <x:v>Erzeuge 01_docs/references/tool-manifest.md als leeres Register; fülle erst nach Clone/Download.</x:v>
      </x:c>
      <x:c r="K15" s="22" t="str">
        <x:v>Manifest und Quellenindex schreiben.</x:v>
      </x:c>
      <x:c r="L15" s="22" t="str">
        <x:v>Downloads ohne Eintrag ausführen.</x:v>
      </x:c>
      <x:c r="M15" s="22" t="str">
        <x:v>tool-manifest.md enthält Platzhalter für alle Kernkomponenten.</x:v>
      </x:c>
      <x:c r="N15" s="22" t="str">
        <x:v>01_docs/references/tool-manifest.md</x:v>
      </x:c>
      <x:c r="O15" s="23"/>
    </x:row>
    <x:row r="16" ht="48" customHeight="1">
      <x:c r="A16" s="40" t="n">
        <x:v>15</x:v>
      </x:c>
      <x:c r="B16" s="22" t="str">
        <x:v>02 Terminal-Workspace aufbauen</x:v>
      </x:c>
      <x:c r="C16" s="44" t="str">
        <x:v>02.06</x:v>
      </x:c>
      <x:c r="D16" s="22" t="str">
        <x:v>README mit Arbeitsmodus schreiben</x:v>
      </x:c>
      <x:c r="E16" s="22" t="str">
        <x:v>README erklärt Ziel, Nicht-Ziele, Legal/ROM-Policy, Workflow, erste Befehle und nächste Schritte.</x:v>
      </x:c>
      <x:c r="F16" s="44" t="str">
        <x:v>Erledigt</x:v>
      </x:c>
      <x:c r="G16" s="48" t="n">
        <x:v>100</x:v>
      </x:c>
      <x:c r="H16" s="44" t="str">
        <x:v>Codex</x:v>
      </x:c>
      <x:c r="I16" s="44" t="str">
        <x:v>Mittel</x:v>
      </x:c>
      <x:c r="J16" s="22" t="str">
        <x:v>README aus Roadmap + Projektanweisungen erstellen; keine technischen Erfolgsbehauptungen.</x:v>
      </x:c>
      <x:c r="K16" s="22" t="str">
        <x:v>README und 01_docs/PROJECT_BRIEF.md schreiben.</x:v>
      </x:c>
      <x:c r="L16" s="22" t="str">
        <x:v>Kompatibilität behaupten, bevor Tests laufen.</x:v>
      </x:c>
      <x:c r="M16" s="22" t="str">
        <x:v>README ist uploadfähig für ChatGPT-Projekt und lesbar für neue Sessions.</x:v>
      </x:c>
      <x:c r="N16" s="22" t="str">
        <x:v>README.md</x:v>
      </x:c>
      <x:c r="O16" s="23"/>
    </x:row>
    <x:row r="17" ht="48" customHeight="1">
      <x:c r="A17" s="40" t="n">
        <x:v>16</x:v>
      </x:c>
      <x:c r="B17" s="22" t="str">
        <x:v>02 Terminal-Workspace aufbauen</x:v>
      </x:c>
      <x:c r="C17" s="44" t="str">
        <x:v>02.07</x:v>
      </x:c>
      <x:c r="D17" s="22" t="str">
        <x:v>Decision-Log-Struktur anlegen</x:v>
      </x:c>
      <x:c r="E17" s="22" t="str">
        <x:v>Wichtige Entscheidungen werden als kurze ADRs dokumentiert.</x:v>
      </x:c>
      <x:c r="F17" s="44" t="str">
        <x:v>Erledigt</x:v>
      </x:c>
      <x:c r="G17" s="48" t="n">
        <x:v>100</x:v>
      </x:c>
      <x:c r="H17" s="44" t="str">
        <x:v>Codex</x:v>
      </x:c>
      <x:c r="I17" s="44" t="str">
        <x:v>Klein</x:v>
      </x:c>
      <x:c r="J17" s="22" t="str">
        <x:v>01_docs/decisions/000-template.md, base-rom.md, randomizer-choice.md, distribution-policy.md vorbereiten.</x:v>
      </x:c>
      <x:c r="K17" s="22" t="str">
        <x:v>ADR-Templates und Index erstellen.</x:v>
      </x:c>
      <x:c r="L17" s="22" t="str">
        <x:v>Entscheidungen nur in Excel oder Chat festhalten.</x:v>
      </x:c>
      <x:c r="M17" s="22" t="str">
        <x:v>DECISIONS_INDEX.md verlinkt alle offenen/abgeschlossenen Entscheidungen.</x:v>
      </x:c>
      <x:c r="N17" s="22" t="str">
        <x:v>01_docs/DECISIONS_INDEX.md; 01_docs/decisions/*.md</x:v>
      </x:c>
      <x:c r="O17" s="23"/>
    </x:row>
    <x:row r="18" ht="48" customHeight="1">
      <x:c r="A18" s="40" t="n">
        <x:v>17</x:v>
      </x:c>
      <x:c r="B18" s="22" t="str">
        <x:v>03 Legal &amp; Base-ROM</x:v>
      </x:c>
      <x:c r="C18" s="44" t="str">
        <x:v>03.01</x:v>
      </x:c>
      <x:c r="D18" s="22" t="str">
        <x:v>Legale FireRed-Ausgangs-ROM lokal bereitstellen</x:v>
      </x:c>
      <x:c r="E18" s="22" t="str">
        <x:v>Selbst gedumpte FireRed-ROM liegt lokal außerhalb Git/ChatGPT; keine ROM-Downloads oder ROM-Links.</x:v>
      </x:c>
      <x:c r="F18" s="44" t="str">
        <x:v>Noch offen</x:v>
      </x:c>
      <x:c r="G18" s="48" t="n">
        <x:v>0</x:v>
      </x:c>
      <x:c r="H18" s="44" t="str">
        <x:v>Du</x:v>
      </x:c>
      <x:c r="I18" s="44" t="str">
        <x:v>Sehr klein</x:v>
      </x:c>
      <x:c r="J18" s="22" t="str">
        <x:v>ROM in 04_private_roms/ oder außerhalb Workspace ablegen; .gitignore prüfen.</x:v>
      </x:c>
      <x:c r="K18" s="22" t="str">
        <x:v>Hash/Dateiname dokumentieren.</x:v>
      </x:c>
      <x:c r="L18" s="22" t="str">
        <x:v>ROM-Dateien committen, hochladen oder teilen.</x:v>
      </x:c>
      <x:c r="M18" s="22" t="str">
        <x:v>ROM liegt privat; Git ignoriert sie.</x:v>
      </x:c>
      <x:c r="N18" s="22" t="str">
        <x:v>01_docs/decisions/rom-source.md</x:v>
      </x:c>
      <x:c r="O18" s="23"/>
    </x:row>
    <x:row r="19" ht="48" customHeight="1">
      <x:c r="A19" s="40" t="n">
        <x:v>18</x:v>
      </x:c>
      <x:c r="B19" s="22" t="str">
        <x:v>03 Legal &amp; Base-ROM</x:v>
      </x:c>
      <x:c r="C19" s="44" t="str">
        <x:v>03.02</x:v>
      </x:c>
      <x:c r="D19" s="22" t="str">
        <x:v>Base-ROM Hash/CRC dokumentieren</x:v>
      </x:c>
      <x:c r="E19" s="22" t="str">
        <x:v>Entwicklungsbasis ist eindeutig, ohne ROM-Inhalt zu teilen.</x:v>
      </x:c>
      <x:c r="F19" s="44" t="str">
        <x:v>Noch offen</x:v>
      </x:c>
      <x:c r="G19" s="48" t="n">
        <x:v>0</x:v>
      </x:c>
      <x:c r="H19" s="44" t="str">
        <x:v>Du</x:v>
      </x:c>
      <x:c r="I19" s="44" t="str">
        <x:v>Sehr klein</x:v>
      </x:c>
      <x:c r="J19" s="22" t="str">
        <x:v>PowerShell: Get-FileHash .\04_private_roms\BPRE0.gba -Algorithm SHA1</x:v>
      </x:c>
      <x:c r="K19" s="22" t="str">
        <x:v>Hash, Dateiname, Region notieren.</x:v>
      </x:c>
      <x:c r="L19" s="22" t="str">
        <x:v>ROM-Inhalte, Hexdumps oder private Pfade in Chat/Git kopieren.</x:v>
      </x:c>
      <x:c r="M19" s="22" t="str">
        <x:v>Hash und Region sind in rom-source.md dokumentiert.</x:v>
      </x:c>
      <x:c r="N19" s="22" t="str">
        <x:v>01_docs/decisions/rom-source.md</x:v>
      </x:c>
      <x:c r="O19" s="23"/>
    </x:row>
    <x:row r="20" ht="48" customHeight="1">
      <x:c r="A20" s="40" t="n">
        <x:v>19</x:v>
      </x:c>
      <x:c r="B20" s="22" t="str">
        <x:v>03 Legal &amp; Base-ROM</x:v>
      </x:c>
      <x:c r="C20" s="44" t="str">
        <x:v>03.03</x:v>
      </x:c>
      <x:c r="D20" s="22" t="str">
        <x:v>Patch-only-Policy finalisieren</x:v>
      </x:c>
      <x:c r="E20" s="22" t="str">
        <x:v>Veröffentlichung erfolgt nur als Patch/Quelländerung, nie als ROM.</x:v>
      </x:c>
      <x:c r="F20" s="44" t="str">
        <x:v>Noch offen</x:v>
      </x:c>
      <x:c r="G20" s="48" t="n">
        <x:v>0</x:v>
      </x:c>
      <x:c r="H20" s="44" t="str">
        <x:v>Du + ChatGPT</x:v>
      </x:c>
      <x:c r="I20" s="44" t="str">
        <x:v>Klein</x:v>
      </x:c>
      <x:c r="J20" s="22" t="str">
        <x:v>distribution-policy.md ausarbeiten; Credits/Nicht-Kommerzialisierung beachten.</x:v>
      </x:c>
      <x:c r="K20" s="22" t="str">
        <x:v>Policy und README-Hinweis schreiben.</x:v>
      </x:c>
      <x:c r="L20" s="22" t="str">
        <x:v>Rechtsberatung erfinden oder ROM-Verteilung planen.</x:v>
      </x:c>
      <x:c r="M20" s="22" t="str">
        <x:v>Policy ist verständlich und im README verlinkt.</x:v>
      </x:c>
      <x:c r="N20" s="22" t="str">
        <x:v>01_docs/decisions/distribution-policy.md</x:v>
      </x:c>
      <x:c r="O20" s="23" t="str">
        <x:v>https://github.com/Skeli789/Complete-Fire-Red-Upgrade</x:v>
      </x:c>
    </x:row>
    <x:row r="21" ht="48" customHeight="1">
      <x:c r="A21" s="40" t="n">
        <x:v>20</x:v>
      </x:c>
      <x:c r="B21" s="22" t="str">
        <x:v>03 Legal &amp; Base-ROM</x:v>
      </x:c>
      <x:c r="C21" s="44" t="str">
        <x:v>03.04</x:v>
      </x:c>
      <x:c r="D21" s="22" t="str">
        <x:v>Region/Sprachentscheidung treffen</x:v>
      </x:c>
      <x:c r="E21" s="22" t="str">
        <x:v>BPRE English v1.0 als primäre Entwicklungsbasis, optional spätere deutsche FireRed-Kompatibilität separat testen.</x:v>
      </x:c>
      <x:c r="F21" s="44" t="str">
        <x:v>Noch offen</x:v>
      </x:c>
      <x:c r="G21" s="48" t="n">
        <x:v>0</x:v>
      </x:c>
      <x:c r="H21" s="44" t="str">
        <x:v>Du</x:v>
      </x:c>
      <x:c r="I21" s="44" t="str">
        <x:v>Klein</x:v>
      </x:c>
      <x:c r="J21" s="22" t="str">
        <x:v>Entscheidung in base-rom.md festhalten; keine Mischtests am Anfang.</x:v>
      </x:c>
      <x:c r="K21" s="22" t="str">
        <x:v>Entscheidung dokumentieren.</x:v>
      </x:c>
      <x:c r="L21" s="22" t="str">
        <x:v>Mehrere ROM-Regionen parallel mischen.</x:v>
      </x:c>
      <x:c r="M21" s="22" t="str">
        <x:v>Base-ROM-Decision ist abgeschlossen.</x:v>
      </x:c>
      <x:c r="N21" s="22" t="str">
        <x:v>01_docs/decisions/base-rom.md</x:v>
      </x:c>
      <x:c r="O21" s="23" t="str">
        <x:v>https://github.com/besteon/Ironmon-Tracker</x:v>
      </x:c>
    </x:row>
    <x:row r="22" ht="48" customHeight="1">
      <x:c r="A22" s="40" t="n">
        <x:v>21</x:v>
      </x:c>
      <x:c r="B22" s="22" t="str">
        <x:v>04 Komponenten &amp; Quellen pinnen</x:v>
      </x:c>
      <x:c r="C22" s="44" t="str">
        <x:v>04.01</x:v>
      </x:c>
      <x:c r="D22" s="22" t="str">
        <x:v>devkitPro/devkitARM installieren und prüfen</x:v>
      </x:c>
      <x:c r="E22" s="22" t="str">
        <x:v>Build-Toolchain ist erreichbar; Python-/PATH-Anforderungen sind dokumentiert.</x:v>
      </x:c>
      <x:c r="F22" s="44" t="str">
        <x:v>Noch offen</x:v>
      </x:c>
      <x:c r="G22" s="48" t="n">
        <x:v>0</x:v>
      </x:c>
      <x:c r="H22" s="44" t="str">
        <x:v>Du</x:v>
      </x:c>
      <x:c r="I22" s="44" t="str">
        <x:v>Klein</x:v>
      </x:c>
      <x:c r="J22" s="22" t="str">
        <x:v>Versionen prüfen; 01_docs/setup/toolchain.md erstellen; Windows/WSL/Git-Bash-Variante notieren.</x:v>
      </x:c>
      <x:c r="K22" s="22" t="str">
        <x:v>Installationsschritte dokumentieren.</x:v>
      </x:c>
      <x:c r="L22" s="22" t="str">
        <x:v>Systemweite Pfade ändern, ohne es zu dokumentieren.</x:v>
      </x:c>
      <x:c r="M22" s="22" t="str">
        <x:v>arm-none-eabi-gcc/devkitARM/Python-Versionen sind dokumentiert.</x:v>
      </x:c>
      <x:c r="N22" s="22" t="str">
        <x:v>01_docs/setup/toolchain.md</x:v>
      </x:c>
      <x:c r="O22" s="23" t="str">
        <x:v>https://devkitpro.org/wiki/Getting_Started</x:v>
      </x:c>
    </x:row>
    <x:row r="23" ht="48" customHeight="1">
      <x:c r="A23" s="40" t="n">
        <x:v>22</x:v>
      </x:c>
      <x:c r="B23" s="22" t="str">
        <x:v>04 Komponenten &amp; Quellen pinnen</x:v>
      </x:c>
      <x:c r="C23" s="44" t="str">
        <x:v>04.02</x:v>
      </x:c>
      <x:c r="D23" s="22" t="str">
        <x:v>Shiny-Miner CFRU-expansion pinnen</x:v>
      </x:c>
      <x:c r="E23" s="22" t="str">
        <x:v>Primärer Gen9-CFRU-Kandidat ist geklont/submodulet und commit-fixiert.</x:v>
      </x:c>
      <x:c r="F23" s="44" t="str">
        <x:v>Noch offen</x:v>
      </x:c>
      <x:c r="G23" s="48" t="n">
        <x:v>0</x:v>
      </x:c>
      <x:c r="H23" s="44" t="str">
        <x:v>Du + Codex</x:v>
      </x:c>
      <x:c r="I23" s="44" t="str">
        <x:v>Klein</x:v>
      </x:c>
      <x:c r="J23" s="22" t="str">
        <x:v>git clone https://github.com/Shiny-Miner/CFRU-expansion 02_external/cfru-gen9</x:v>
      </x:c>
      <x:c r="K23" s="22" t="str">
        <x:v>Clone, Branch, Commit, README-Auszug dokumentieren.</x:v>
      </x:c>
      <x:c r="L23" s="22" t="str">
        <x:v>Ungeprüft mit anderen ROM-Bases mischen.</x:v>
      </x:c>
      <x:c r="M23" s="22" t="str">
        <x:v>Commit steht in tool-manifest; keine Änderungen am Vendor-Code.</x:v>
      </x:c>
      <x:c r="N23" s="22" t="str">
        <x:v>01_docs/references/tool-manifest.md</x:v>
      </x:c>
      <x:c r="O23" s="23" t="str">
        <x:v>https://github.com/Shiny-Miner/CFRU-expansion</x:v>
      </x:c>
    </x:row>
    <x:row r="24" ht="48" customHeight="1">
      <x:c r="A24" s="40" t="n">
        <x:v>23</x:v>
      </x:c>
      <x:c r="B24" s="22" t="str">
        <x:v>04 Komponenten &amp; Quellen pinnen</x:v>
      </x:c>
      <x:c r="C24" s="44" t="str">
        <x:v>04.03</x:v>
      </x:c>
      <x:c r="D24" s="22" t="str">
        <x:v>Shiny-Miner DPE Gen9 pinnen</x:v>
      </x:c>
      <x:c r="E24" s="22" t="str">
        <x:v>Gepaartes Gen9-DPE-Repo ist geklont/submodulet und commit-fixiert.</x:v>
      </x:c>
      <x:c r="F24" s="44" t="str">
        <x:v>Noch offen</x:v>
      </x:c>
      <x:c r="G24" s="48" t="n">
        <x:v>0</x:v>
      </x:c>
      <x:c r="H24" s="44" t="str">
        <x:v>Du + Codex</x:v>
      </x:c>
      <x:c r="I24" s="44" t="str">
        <x:v>Klein</x:v>
      </x:c>
      <x:c r="J24" s="22" t="str">
        <x:v>git clone https://github.com/Shiny-Miner/Dynamic-Pokemon-Expansion-Gen-9 02_external/dpe-gen9</x:v>
      </x:c>
      <x:c r="K24" s="22" t="str">
        <x:v>Clone, Branch, Commit, Build-Hinweise dokumentieren.</x:v>
      </x:c>
      <x:c r="L24" s="22" t="str">
        <x:v>Assets/Forks ungeprüft vermischen.</x:v>
      </x:c>
      <x:c r="M24" s="22" t="str">
        <x:v>Commit steht im Manifest; DPE/CFRU-Reihenfolge ist als offene Entscheidung markiert.</x:v>
      </x:c>
      <x:c r="N24" s="22" t="str">
        <x:v>01_docs/references/tool-manifest.md</x:v>
      </x:c>
      <x:c r="O24" s="23" t="str">
        <x:v>https://github.com/Shiny-Miner/Dynamic-Pokemon-Expansion-Gen-9</x:v>
      </x:c>
    </x:row>
    <x:row r="25" ht="48" customHeight="1">
      <x:c r="A25" s="40" t="n">
        <x:v>24</x:v>
      </x:c>
      <x:c r="B25" s="22" t="str">
        <x:v>04 Komponenten &amp; Quellen pinnen</x:v>
      </x:c>
      <x:c r="C25" s="44" t="str">
        <x:v>04.04</x:v>
      </x:c>
      <x:c r="D25" s="22" t="str">
        <x:v>Skeli Upstream CFRU/DPE als Referenz pinnen</x:v>
      </x:c>
      <x:c r="E25" s="22" t="str">
        <x:v>Offizielle Upstream-Repos bleiben read-only Vergleichs- und Dokuquellen.</x:v>
      </x:c>
      <x:c r="F25" s="44" t="str">
        <x:v>Noch offen</x:v>
      </x:c>
      <x:c r="G25" s="48" t="n">
        <x:v>0</x:v>
      </x:c>
      <x:c r="H25" s="44" t="str">
        <x:v>Du + Codex</x:v>
      </x:c>
      <x:c r="I25" s="44" t="str">
        <x:v>Klein</x:v>
      </x:c>
      <x:c r="J25" s="22" t="str">
        <x:v>git clone Skeli789/Complete-Fire-Red-Upgrade und Dynamic-Pokemon-Expansion in 02_external/*-upstream.</x:v>
      </x:c>
      <x:c r="K25" s="22" t="str">
        <x:v>Read-only klonen, Commit dokumentieren.</x:v>
      </x:c>
      <x:c r="L25" s="22" t="str">
        <x:v>Upstream direkt als Arbeitsfork bearbeiten.</x:v>
      </x:c>
      <x:c r="M25" s="22" t="str">
        <x:v>Upstream-Commits stehen im Manifest.</x:v>
      </x:c>
      <x:c r="N25" s="22" t="str">
        <x:v>01_docs/references/tool-manifest.md</x:v>
      </x:c>
      <x:c r="O25" s="23" t="str">
        <x:v>https://github.com/Skeli789/Complete-Fire-Red-Upgrade
https://github.com/Skeli789/Dynamic-Pokemon-Expansion</x:v>
      </x:c>
    </x:row>
    <x:row r="26" ht="48" customHeight="1">
      <x:c r="A26" s="40" t="n">
        <x:v>25</x:v>
      </x:c>
      <x:c r="B26" s="22" t="str">
        <x:v>04 Komponenten &amp; Quellen pinnen</x:v>
      </x:c>
      <x:c r="C26" s="44" t="str">
        <x:v>04.05</x:v>
      </x:c>
      <x:c r="D26" s="22" t="str">
        <x:v>UPR FVX Release und Source pinnen</x:v>
      </x:c>
      <x:c r="E26" s="22" t="str">
        <x:v>Aktuellster Arbeitsrandomizer ist UPR FVX; Release und Source-Commit sind dokumentiert.</x:v>
      </x:c>
      <x:c r="F26" s="44" t="str">
        <x:v>Noch offen</x:v>
      </x:c>
      <x:c r="G26" s="48" t="n">
        <x:v>0</x:v>
      </x:c>
      <x:c r="H26" s="44" t="str">
        <x:v>Du + Codex</x:v>
      </x:c>
      <x:c r="I26" s="44" t="str">
        <x:v>Klein</x:v>
      </x:c>
      <x:c r="J26" s="22" t="str">
        <x:v>gh release download -R upr-fvx/universal-pokemon-randomizer-fvx --dir 03_tools/releases; git clone ... 02_external/upr-fvx</x:v>
      </x:c>
      <x:c r="K26" s="22" t="str">
        <x:v>Release/Source dokumentieren und Vanilla-Test vorbereiten.</x:v>
      </x:c>
      <x:c r="L26" s="22" t="str">
        <x:v>ZX als aktuelles Hauptziel behandeln.</x:v>
      </x:c>
      <x:c r="M26" s="22" t="str">
        <x:v>FVX-Version/Commit stehen im Manifest.</x:v>
      </x:c>
      <x:c r="N26" s="22" t="str">
        <x:v>01_docs/references/tool-manifest.md</x:v>
      </x:c>
      <x:c r="O26" s="23" t="str">
        <x:v>https://github.com/upr-fvx/universal-pokemon-randomizer-fvx
https://upr-fvx.github.io/universal-pokemon-randomizer-fvx/downloads.html</x:v>
      </x:c>
    </x:row>
    <x:row r="27" ht="48" customHeight="1">
      <x:c r="A27" s="40" t="n">
        <x:v>26</x:v>
      </x:c>
      <x:c r="B27" s="22" t="str">
        <x:v>04 Komponenten &amp; Quellen pinnen</x:v>
      </x:c>
      <x:c r="C27" s="44" t="str">
        <x:v>04.06</x:v>
      </x:c>
      <x:c r="D27" s="22" t="str">
        <x:v>CyanSMP64 Referenzen pinnen</x:v>
      </x:c>
      <x:c r="E27" s="22" t="str">
        <x:v>NatDexExtension, UPR-ZX-natdex und pokefirered-natdex sind read-only Vergleichsquellen.</x:v>
      </x:c>
      <x:c r="F27" s="44" t="str">
        <x:v>Noch offen</x:v>
      </x:c>
      <x:c r="G27" s="48" t="n">
        <x:v>0</x:v>
      </x:c>
      <x:c r="H27" s="44" t="str">
        <x:v>Du + Codex</x:v>
      </x:c>
      <x:c r="I27" s="44" t="str">
        <x:v>Klein</x:v>
      </x:c>
      <x:c r="J27" s="22" t="str">
        <x:v>git clone -b dev_new NatDexExtension; git clone -b natdex cyan UPR ZX; git clone -b natdex cyan pokefirered.</x:v>
      </x:c>
      <x:c r="K27" s="22" t="str">
        <x:v>Read-only klonen, Branch/Commit erfassen.</x:v>
      </x:c>
      <x:c r="L27" s="22" t="str">
        <x:v>Cyan-Code ungeprüft übernehmen oder als Hauptbasis behandeln.</x:v>
      </x:c>
      <x:c r="M27" s="22" t="str">
        <x:v>Alle drei Referenzen sind im Manifest dokumentiert.</x:v>
      </x:c>
      <x:c r="N27" s="22" t="str">
        <x:v>01_docs/references/tool-manifest.md</x:v>
      </x:c>
      <x:c r="O27" s="23" t="str">
        <x:v>https://github.com/CyanSMP64/NatDexExtension/tree/dev_new
https://github.com/CyanSMP64/universal-pokemon-randomizer-zx/tree/natdex
https://github.com/CyanSMP64/pokefirered/tree/natdex</x:v>
      </x:c>
    </x:row>
    <x:row r="28" ht="48" customHeight="1">
      <x:c r="A28" s="40" t="n">
        <x:v>27</x:v>
      </x:c>
      <x:c r="B28" s="22" t="str">
        <x:v>04 Komponenten &amp; Quellen pinnen</x:v>
      </x:c>
      <x:c r="C28" s="44" t="str">
        <x:v>04.07</x:v>
      </x:c>
      <x:c r="D28" s="22" t="str">
        <x:v>pret/pokefirered als optionale Layout-Referenz aufnehmen</x:v>
      </x:c>
      <x:c r="E28" s="22" t="str">
        <x:v>Decomp-Referenz für FireRed/LeafGreen-Layout ist als Kontextquelle bekannt.</x:v>
      </x:c>
      <x:c r="F28" s="44" t="str">
        <x:v>Noch offen</x:v>
      </x:c>
      <x:c r="G28" s="48" t="n">
        <x:v>0</x:v>
      </x:c>
      <x:c r="H28" s="44" t="str">
        <x:v>Codex</x:v>
      </x:c>
      <x:c r="I28" s="44" t="str">
        <x:v>Sehr klein</x:v>
      </x:c>
      <x:c r="J28" s="22" t="str">
        <x:v>Nur als Link/optional clone dokumentieren; nicht als Build-Basis für CFRU/DPE vermischen.</x:v>
      </x:c>
      <x:c r="K28" s="22" t="str">
        <x:v>Quellenindex ergänzen.</x:v>
      </x:c>
      <x:c r="L28" s="22" t="str">
        <x:v>Decomp und Binary-Hack-Buildsystem ungeprüft vermischen.</x:v>
      </x:c>
      <x:c r="M28" s="22" t="str">
        <x:v>Quellenindex nennt pret/pokefirered als Layout-/Build-Referenz.</x:v>
      </x:c>
      <x:c r="N28" s="22" t="str">
        <x:v>01_docs/references/source-index.md</x:v>
      </x:c>
      <x:c r="O28" s="23" t="str">
        <x:v>https://github.com/pret/pokefirered</x:v>
      </x:c>
    </x:row>
    <x:row r="29" ht="48" customHeight="1">
      <x:c r="A29" s="40" t="n">
        <x:v>28</x:v>
      </x:c>
      <x:c r="B29" s="22" t="str">
        <x:v>04 Komponenten &amp; Quellen pinnen</x:v>
      </x:c>
      <x:c r="C29" s="44" t="str">
        <x:v>04.08</x:v>
      </x:c>
      <x:c r="D29" s="22" t="str">
        <x:v>Hex Maniac Advance bereitstellen</x:v>
      </x:c>
      <x:c r="E29" s="22" t="str">
        <x:v>HMA ist als Analyse-/Editor-Tool verfügbar, aber erst read-only im Workflow.</x:v>
      </x:c>
      <x:c r="F29" s="44" t="str">
        <x:v>Noch offen</x:v>
      </x:c>
      <x:c r="G29" s="48" t="n">
        <x:v>0</x:v>
      </x:c>
      <x:c r="H29" s="44" t="str">
        <x:v>Du</x:v>
      </x:c>
      <x:c r="I29" s="44" t="str">
        <x:v>Klein</x:v>
      </x:c>
      <x:c r="J29" s="22" t="str">
        <x:v>gh release download -R haven1433/HexManiacAdvance --dir 03_tools/releases oder manuell nach Asset-Auswahl.</x:v>
      </x:c>
      <x:c r="K29" s="22" t="str">
        <x:v>Release/Version dokumentieren.</x:v>
      </x:c>
      <x:c r="L29" s="22" t="str">
        <x:v>ROM speichern, ohne Backup/Protokoll.</x:v>
      </x:c>
      <x:c r="M29" s="22" t="str">
        <x:v>HMA startet und öffnet Vanilla ROM im späteren Read-only-Test.</x:v>
      </x:c>
      <x:c r="N29" s="22" t="str">
        <x:v>01_docs/references/tool-manifest.md</x:v>
      </x:c>
      <x:c r="O29" s="23" t="str">
        <x:v>https://github.com/haven1433/HexManiacAdvance</x:v>
      </x:c>
    </x:row>
    <x:row r="30" ht="48" customHeight="1">
      <x:c r="A30" s="40" t="n">
        <x:v>29</x:v>
      </x:c>
      <x:c r="B30" s="22" t="str">
        <x:v>04 Komponenten &amp; Quellen pinnen</x:v>
      </x:c>
      <x:c r="C30" s="44" t="str">
        <x:v>04.09</x:v>
      </x:c>
      <x:c r="D30" s="22" t="str">
        <x:v>BizHawk bereitstellen</x:v>
      </x:c>
      <x:c r="E30" s="22" t="str">
        <x:v>BizHawk-Version ist dokumentiert; Lua Console ist für Ironmon verwendbar.</x:v>
      </x:c>
      <x:c r="F30" s="44" t="str">
        <x:v>Noch offen</x:v>
      </x:c>
      <x:c r="G30" s="48" t="n">
        <x:v>0</x:v>
      </x:c>
      <x:c r="H30" s="44" t="str">
        <x:v>Du</x:v>
      </x:c>
      <x:c r="I30" s="44" t="str">
        <x:v>Klein</x:v>
      </x:c>
      <x:c r="J30" s="22" t="str">
        <x:v>Download-URL/Version dokumentieren; Installation nicht ins Git.</x:v>
      </x:c>
      <x:c r="K30" s="22" t="str">
        <x:v>Version und Pfadnotiz dokumentieren.</x:v>
      </x:c>
      <x:c r="L30" s="22" t="str">
        <x:v>Emulatorstates/Saves ins Git legen.</x:v>
      </x:c>
      <x:c r="M30" s="22" t="str">
        <x:v>BizHawk startet; Version steht im Manifest.</x:v>
      </x:c>
      <x:c r="N30" s="22" t="str">
        <x:v>01_docs/references/tool-manifest.md</x:v>
      </x:c>
      <x:c r="O30" s="23" t="str">
        <x:v>https://github.com/besteon/Ironmon-Tracker</x:v>
      </x:c>
    </x:row>
    <x:row r="31" ht="48" customHeight="1">
      <x:c r="A31" s="40" t="n">
        <x:v>30</x:v>
      </x:c>
      <x:c r="B31" s="22" t="str">
        <x:v>04 Komponenten &amp; Quellen pinnen</x:v>
      </x:c>
      <x:c r="C31" s="44" t="str">
        <x:v>04.10</x:v>
      </x:c>
      <x:c r="D31" s="22" t="str">
        <x:v>Ironmon Tracker bereitstellen</x:v>
      </x:c>
      <x:c r="E31" s="22" t="str">
        <x:v>Tracker ist installiert oder read-only geklont; Vanilla-Test wird vorbereitet.</x:v>
      </x:c>
      <x:c r="F31" s="44" t="str">
        <x:v>Noch offen</x:v>
      </x:c>
      <x:c r="G31" s="48" t="n">
        <x:v>0</x:v>
      </x:c>
      <x:c r="H31" s="44" t="str">
        <x:v>Du + Codex</x:v>
      </x:c>
      <x:c r="I31" s="44" t="str">
        <x:v>Klein</x:v>
      </x:c>
      <x:c r="J31" s="22" t="str">
        <x:v>git clone https://github.com/besteon/Ironmon-Tracker 02_external/ironmon-tracker</x:v>
      </x:c>
      <x:c r="K31" s="22" t="str">
        <x:v>README/Release notieren, Installationsweg dokumentieren.</x:v>
      </x:c>
      <x:c r="L31" s="22" t="str">
        <x:v>Tracker-Core ändern vor Baseline.</x:v>
      </x:c>
      <x:c r="M31" s="22" t="str">
        <x:v>Tracker-Version/Commit steht im Manifest.</x:v>
      </x:c>
      <x:c r="N31" s="22" t="str">
        <x:v>01_docs/references/tool-manifest.md</x:v>
      </x:c>
      <x:c r="O31" s="23" t="str">
        <x:v>https://github.com/besteon/Ironmon-Tracker</x:v>
      </x:c>
    </x:row>
    <x:row r="32" ht="48" customHeight="1">
      <x:c r="A32" s="40" t="n">
        <x:v>31</x:v>
      </x:c>
      <x:c r="B32" s="22" t="str">
        <x:v>05 Doku &amp; Referenzanalyse</x:v>
      </x:c>
      <x:c r="C32" s="44" t="str">
        <x:v>05.01</x:v>
      </x:c>
      <x:c r="D32" s="22" t="str">
        <x:v>CFRU-Doku erfassen</x:v>
      </x:c>
      <x:c r="E32" s="22" t="str">
        <x:v>CFRU README, PDF/DOCX, Wiki/Installationshinweise und Risiken sind als Reference Note zusammengefasst.</x:v>
      </x:c>
      <x:c r="F32" s="44" t="str">
        <x:v>Noch offen</x:v>
      </x:c>
      <x:c r="G32" s="48" t="n">
        <x:v>0</x:v>
      </x:c>
      <x:c r="H32" s="44" t="str">
        <x:v>Codex</x:v>
      </x:c>
      <x:c r="I32" s="44" t="str">
        <x:v>Klein</x:v>
      </x:c>
      <x:c r="J32" s="22" t="str">
        <x:v>01_docs/references/cfru.md aus README/PDF/Wiki erstellen; nur kurze Zusammenfassung, Links behalten.</x:v>
      </x:c>
      <x:c r="K32" s="22" t="str">
        <x:v>Referenznotiz schreiben.</x:v>
      </x:c>
      <x:c r="L32" s="22" t="str">
        <x:v>PDF-Inhalte unzitiert/lang kopieren.</x:v>
      </x:c>
      <x:c r="M32" s="22" t="str">
        <x:v>cfru.md enthält Buildfolge, Config-Hinweise, Risiken, offene Fragen.</x:v>
      </x:c>
      <x:c r="N32" s="22" t="str">
        <x:v>01_docs/references/cfru.md</x:v>
      </x:c>
      <x:c r="O32" s="23" t="str">
        <x:v>https://github.com/Skeli789/Complete-Fire-Red-Upgrade</x:v>
      </x:c>
    </x:row>
    <x:row r="33" ht="48" customHeight="1">
      <x:c r="A33" s="40" t="n">
        <x:v>32</x:v>
      </x:c>
      <x:c r="B33" s="22" t="str">
        <x:v>05 Doku &amp; Referenzanalyse</x:v>
      </x:c>
      <x:c r="C33" s="44" t="str">
        <x:v>05.02</x:v>
      </x:c>
      <x:c r="D33" s="22" t="str">
        <x:v>DPE-Doku erfassen</x:v>
      </x:c>
      <x:c r="E33" s="22" t="str">
        <x:v>DPE README/Install-Hinweise, TM/Tutor-/Learnset-Risiken und Buildfolge sind dokumentiert.</x:v>
      </x:c>
      <x:c r="F33" s="44" t="str">
        <x:v>Noch offen</x:v>
      </x:c>
      <x:c r="G33" s="48" t="n">
        <x:v>0</x:v>
      </x:c>
      <x:c r="H33" s="44" t="str">
        <x:v>Codex</x:v>
      </x:c>
      <x:c r="I33" s="44" t="str">
        <x:v>Klein</x:v>
      </x:c>
      <x:c r="J33" s="22" t="str">
        <x:v>01_docs/references/dpe.md erstellen; DPE-before-CFRU-Annahme markieren.</x:v>
      </x:c>
      <x:c r="K33" s="22" t="str">
        <x:v>Referenznotiz schreiben.</x:v>
      </x:c>
      <x:c r="L33" s="22" t="str">
        <x:v>DPE/CFRU-Reihenfolge ignorieren.</x:v>
      </x:c>
      <x:c r="M33" s="22" t="str">
        <x:v>dpe.md enthält genaue offene Fragen für den ersten Build.</x:v>
      </x:c>
      <x:c r="N33" s="22" t="str">
        <x:v>01_docs/references/dpe.md</x:v>
      </x:c>
      <x:c r="O33" s="23" t="str">
        <x:v>https://github.com/Skeli789/Dynamic-Pokemon-Expansion</x:v>
      </x:c>
    </x:row>
    <x:row r="34" ht="48" customHeight="1">
      <x:c r="A34" s="40" t="n">
        <x:v>33</x:v>
      </x:c>
      <x:c r="B34" s="22" t="str">
        <x:v>05 Doku &amp; Referenzanalyse</x:v>
      </x:c>
      <x:c r="C34" s="44" t="str">
        <x:v>05.03</x:v>
      </x:c>
      <x:c r="D34" s="22" t="str">
        <x:v>Shiny-Miner Forks analysieren</x:v>
      </x:c>
      <x:c r="E34" s="22" t="str">
        <x:v>Gen9-Features, bekannte Risiken, fehlende Releases und Build-Hinweise sind dokumentiert.</x:v>
      </x:c>
      <x:c r="F34" s="44" t="str">
        <x:v>Noch offen</x:v>
      </x:c>
      <x:c r="G34" s="48" t="n">
        <x:v>0</x:v>
      </x:c>
      <x:c r="H34" s="44" t="str">
        <x:v>Codex</x:v>
      </x:c>
      <x:c r="I34" s="44" t="str">
        <x:v>Mittel</x:v>
      </x:c>
      <x:c r="J34" s="22" t="str">
        <x:v>01_docs/references/gen9-forks.md erstellen; 1025/1439/Gen9 Moves/Abilities nur mit Quelle nennen.</x:v>
      </x:c>
      <x:c r="K34" s="22" t="str">
        <x:v>README/Issues/Files auswerten.</x:v>
      </x:c>
      <x:c r="L34" s="22" t="str">
        <x:v>Forks als stabil/releasefertig darstellen.</x:v>
      </x:c>
      <x:c r="M34" s="22" t="str">
        <x:v>gen9-forks.md enthält Features, Risiken, offene Buildfragen.</x:v>
      </x:c>
      <x:c r="N34" s="22" t="str">
        <x:v>01_docs/references/gen9-forks.md</x:v>
      </x:c>
      <x:c r="O34" s="23" t="str">
        <x:v>https://github.com/Shiny-Miner/CFRU-expansion
https://github.com/Shiny-Miner/Dynamic-Pokemon-Expansion-Gen-9</x:v>
      </x:c>
    </x:row>
    <x:row r="35" ht="48" customHeight="1">
      <x:c r="A35" s="40" t="n">
        <x:v>34</x:v>
      </x:c>
      <x:c r="B35" s="22" t="str">
        <x:v>05 Doku &amp; Referenzanalyse</x:v>
      </x:c>
      <x:c r="C35" s="44" t="str">
        <x:v>05.04</x:v>
      </x:c>
      <x:c r="D35" s="22" t="str">
        <x:v>UPR FVX Doku erfassen</x:v>
      </x:c>
      <x:c r="E35" s="22" t="str">
        <x:v>FVX Download, Repo, Wiki, CLI/Build-Hinweise und Grenzen bei ROM-Hacks sind dokumentiert.</x:v>
      </x:c>
      <x:c r="F35" s="44" t="str">
        <x:v>Noch offen</x:v>
      </x:c>
      <x:c r="G35" s="48" t="n">
        <x:v>0</x:v>
      </x:c>
      <x:c r="H35" s="44" t="str">
        <x:v>Codex</x:v>
      </x:c>
      <x:c r="I35" s="44" t="str">
        <x:v>Klein</x:v>
      </x:c>
      <x:c r="J35" s="22" t="str">
        <x:v>01_docs/references/upr-fvx.md aus offizieller Website/Repo/Wiki erstellen.</x:v>
      </x:c>
      <x:c r="K35" s="22" t="str">
        <x:v>Referenznotiz schreiben.</x:v>
      </x:c>
      <x:c r="L35" s="22" t="str">
        <x:v>Randomizer-Optionen ohne Test als kompatibel markieren.</x:v>
      </x:c>
      <x:c r="M35" s="22" t="str">
        <x:v>upr-fvx.md enthält Vanilla-Funktion, Custom-ROM-Risiko, erste Teststrategie.</x:v>
      </x:c>
      <x:c r="N35" s="22" t="str">
        <x:v>01_docs/references/upr-fvx.md</x:v>
      </x:c>
      <x:c r="O35" s="23" t="str">
        <x:v>https://github.com/upr-fvx/universal-pokemon-randomizer-fvx</x:v>
      </x:c>
    </x:row>
    <x:row r="36" ht="48" customHeight="1">
      <x:c r="A36" s="40" t="n">
        <x:v>35</x:v>
      </x:c>
      <x:c r="B36" s="22" t="str">
        <x:v>05 Doku &amp; Referenzanalyse</x:v>
      </x:c>
      <x:c r="C36" s="44" t="str">
        <x:v>05.05</x:v>
      </x:c>
      <x:c r="D36" s="22" t="str">
        <x:v>Cyan NatDex Ansatz analysieren</x:v>
      </x:c>
      <x:c r="E36" s="22" t="str">
        <x:v>CyanSMP64s Randomizer-/ROM-/Tracker-Anpassungen werden als Referenzdiff dokumentiert.</x:v>
      </x:c>
      <x:c r="F36" s="44" t="str">
        <x:v>Noch offen</x:v>
      </x:c>
      <x:c r="G36" s="48" t="n">
        <x:v>0</x:v>
      </x:c>
      <x:c r="H36" s="44" t="str">
        <x:v>Codex</x:v>
      </x:c>
      <x:c r="I36" s="44" t="str">
        <x:v>Mittel</x:v>
      </x:c>
      <x:c r="J36" s="22" t="str">
        <x:v>Diffs in kleine Themen teilen: Gen3 handler, rnqs, tracker extension, ROM layout.</x:v>
      </x:c>
      <x:c r="K36" s="22" t="str">
        <x:v>Dokumentation und Diff-Analyse schreiben.</x:v>
      </x:c>
      <x:c r="L36" s="22" t="str">
        <x:v>Code kopieren ohne Lizenz-/Passungsprüfung.</x:v>
      </x:c>
      <x:c r="M36" s="22" t="str">
        <x:v>cyan-natdex.md enthält übertragbare Ideen und Nicht-Übernahmen.</x:v>
      </x:c>
      <x:c r="N36" s="22" t="str">
        <x:v>01_docs/references/cyan-natdex.md</x:v>
      </x:c>
      <x:c r="O36" s="23" t="str">
        <x:v>https://github.com/CyanSMP64/NatDexExtension/releases</x:v>
      </x:c>
    </x:row>
    <x:row r="37" ht="48" customHeight="1">
      <x:c r="A37" s="40" t="n">
        <x:v>36</x:v>
      </x:c>
      <x:c r="B37" s="22" t="str">
        <x:v>05 Doku &amp; Referenzanalyse</x:v>
      </x:c>
      <x:c r="C37" s="44" t="str">
        <x:v>05.06</x:v>
      </x:c>
      <x:c r="D37" s="22" t="str">
        <x:v>Ironmon/HMA-Doku erfassen</x:v>
      </x:c>
      <x:c r="E37" s="22" t="str">
        <x:v>Tracker-Support, Emulatoranforderungen, Extension-Ansatz und HMA-Backup-Regel sind dokumentiert.</x:v>
      </x:c>
      <x:c r="F37" s="44" t="str">
        <x:v>Noch offen</x:v>
      </x:c>
      <x:c r="G37" s="48" t="n">
        <x:v>0</x:v>
      </x:c>
      <x:c r="H37" s="44" t="str">
        <x:v>Codex</x:v>
      </x:c>
      <x:c r="I37" s="44" t="str">
        <x:v>Klein</x:v>
      </x:c>
      <x:c r="J37" s="22" t="str">
        <x:v>01_docs/references/ironmon.md und hma.md erstellen.</x:v>
      </x:c>
      <x:c r="K37" s="22" t="str">
        <x:v>Docs zusammenfassen.</x:v>
      </x:c>
      <x:c r="L37" s="22" t="str">
        <x:v>Tracker/HMA vor Baseline ändern.</x:v>
      </x:c>
      <x:c r="M37" s="22" t="str">
        <x:v>ironmon.md und hma.md enthalten Setup, Testpunkte, Risiken.</x:v>
      </x:c>
      <x:c r="N37" s="22" t="str">
        <x:v>01_docs/references/ironmon.md; 01_docs/references/hma.md</x:v>
      </x:c>
      <x:c r="O37" s="23" t="str">
        <x:v>https://github.com/besteon/Ironmon-Tracker
https://github.com/haven1433/HexManiacAdvance</x:v>
      </x:c>
    </x:row>
    <x:row r="38" ht="48" customHeight="1">
      <x:c r="A38" s="40" t="n">
        <x:v>37</x:v>
      </x:c>
      <x:c r="B38" s="22" t="str">
        <x:v>05 Doku &amp; Referenzanalyse</x:v>
      </x:c>
      <x:c r="C38" s="44" t="str">
        <x:v>05.07</x:v>
      </x:c>
      <x:c r="D38" s="22" t="str">
        <x:v>Kompatibilitätsannahmen erfassen</x:v>
      </x:c>
      <x:c r="E38" s="22" t="str">
        <x:v>Species Count, Moves, Abilities, Items, Evolutions, Trainerdaten, Tabellen/Offsets und ROM-Erkennung sind als Annahmenliste dokumentiert.</x:v>
      </x:c>
      <x:c r="F38" s="44" t="str">
        <x:v>Noch offen</x:v>
      </x:c>
      <x:c r="G38" s="48" t="n">
        <x:v>0</x:v>
      </x:c>
      <x:c r="H38" s="44" t="str">
        <x:v>Codex</x:v>
      </x:c>
      <x:c r="I38" s="44" t="str">
        <x:v>Mittel</x:v>
      </x:c>
      <x:c r="J38" s="22" t="str">
        <x:v>01_docs/decisions/compat-assumptions.md; jede Annahme braucht Quelle oder Test-ID.</x:v>
      </x:c>
      <x:c r="K38" s="22" t="str">
        <x:v>Assumptions-Doc schreiben.</x:v>
      </x:c>
      <x:c r="L38" s="22" t="str">
        <x:v>Annahmen direkt in Code verstecken.</x:v>
      </x:c>
      <x:c r="M38" s="22" t="str">
        <x:v>Jede kritische Annahme hat Status: belegt/offen/widerlegt.</x:v>
      </x:c>
      <x:c r="N38" s="22" t="str">
        <x:v>01_docs/decisions/compat-assumptions.md</x:v>
      </x:c>
      <x:c r="O38" s="23" t="str">
        <x:v>https://github.com/Ajarmar/universal-pokemon-randomizer-zx/issues/873</x:v>
      </x:c>
    </x:row>
    <x:row r="39" ht="48" customHeight="1">
      <x:c r="A39" s="40" t="n">
        <x:v>38</x:v>
      </x:c>
      <x:c r="B39" s="22" t="str">
        <x:v>05 Doku &amp; Referenzanalyse</x:v>
      </x:c>
      <x:c r="C39" s="44" t="str">
        <x:v>05.08</x:v>
      </x:c>
      <x:c r="D39" s="22" t="str">
        <x:v>Table-Map-Plan erstellen</x:v>
      </x:c>
      <x:c r="E39" s="22" t="str">
        <x:v>Geplanter Weg zum Nachweis von Tabellen/Offsets ist dokumentiert, bevor FVX angepasst wird.</x:v>
      </x:c>
      <x:c r="F39" s="44" t="str">
        <x:v>Noch offen</x:v>
      </x:c>
      <x:c r="G39" s="48" t="n">
        <x:v>0</x:v>
      </x:c>
      <x:c r="H39" s="44" t="str">
        <x:v>Codex</x:v>
      </x:c>
      <x:c r="I39" s="44" t="str">
        <x:v>Mittel</x:v>
      </x:c>
      <x:c r="J39" s="22" t="str">
        <x:v>01_docs/randomizer/table-map-plan.md: Quelle, erwarteter Leser, Test, Risiko je Tabelle.</x:v>
      </x:c>
      <x:c r="K39" s="22" t="str">
        <x:v>Plan schreiben.</x:v>
      </x:c>
      <x:c r="L39" s="22" t="str">
        <x:v>Offsets raten.</x:v>
      </x:c>
      <x:c r="M39" s="22" t="str">
        <x:v>Plan enthält priorisierte Tabellenliste und zugehörige Tests.</x:v>
      </x:c>
      <x:c r="N39" s="22" t="str">
        <x:v>01_docs/randomizer/table-map-plan.md</x:v>
      </x:c>
      <x:c r="O39" s="23"/>
    </x:row>
    <x:row r="40" ht="48" customHeight="1">
      <x:c r="A40" s="40" t="n">
        <x:v>39</x:v>
      </x:c>
      <x:c r="B40" s="22" t="str">
        <x:v>06 Baseline Build &amp; Smoke</x:v>
      </x:c>
      <x:c r="C40" s="44" t="str">
        <x:v>06.01</x:v>
      </x:c>
      <x:c r="D40" s="22" t="str">
        <x:v>Toolchain Smoke Test</x:v>
      </x:c>
      <x:c r="E40" s="22" t="str">
        <x:v>devkitARM/Python/Make-Umgebung sind erreichbar; Build-Scripts können grundsätzlich starten.</x:v>
      </x:c>
      <x:c r="F40" s="44" t="str">
        <x:v>Noch offen</x:v>
      </x:c>
      <x:c r="G40" s="48" t="n">
        <x:v>0</x:v>
      </x:c>
      <x:c r="H40" s="44" t="str">
        <x:v>Du + Codex</x:v>
      </x:c>
      <x:c r="I40" s="44" t="str">
        <x:v>Klein</x:v>
      </x:c>
      <x:c r="J40" s="22" t="str">
        <x:v>Versionen prüfen und in 01_docs/setup/toolchain.md eintragen.</x:v>
      </x:c>
      <x:c r="K40" s="22" t="str">
        <x:v>Version commands ausführen, Logs dokumentieren.</x:v>
      </x:c>
      <x:c r="L40" s="22" t="str">
        <x:v>Buildfehler durch manuelle ROM-Manipulation überdecken.</x:v>
      </x:c>
      <x:c r="M40" s="22" t="str">
        <x:v>toolchain.md enthält Versionen und PATH-Notizen.</x:v>
      </x:c>
      <x:c r="N40" s="22" t="str">
        <x:v>01_docs/setup/toolchain.md; 08_tests/setup/toolchain.md</x:v>
      </x:c>
      <x:c r="O40" s="23" t="str">
        <x:v>https://devkitpro.org/wiki/devkitARM</x:v>
      </x:c>
    </x:row>
    <x:row r="41" ht="48" customHeight="1">
      <x:c r="A41" s="40" t="n">
        <x:v>40</x:v>
      </x:c>
      <x:c r="B41" s="22" t="str">
        <x:v>06 Baseline Build &amp; Smoke</x:v>
      </x:c>
      <x:c r="C41" s="44" t="str">
        <x:v>06.02</x:v>
      </x:c>
      <x:c r="D41" s="22" t="str">
        <x:v>Vanilla CFRU-Upstream Build testen</x:v>
      </x:c>
      <x:c r="E41" s="22" t="str">
        <x:v>Upstream CFRU lässt sich mit sauberer ROM bauen und booten.</x:v>
      </x:c>
      <x:c r="F41" s="44" t="str">
        <x:v>Noch offen</x:v>
      </x:c>
      <x:c r="G41" s="48" t="n">
        <x:v>0</x:v>
      </x:c>
      <x:c r="H41" s="44" t="str">
        <x:v>Du + Codex</x:v>
      </x:c>
      <x:c r="I41" s="44" t="str">
        <x:v>Mittel</x:v>
      </x:c>
      <x:c r="J41" s="22" t="str">
        <x:v>Build nur lokal mit ROM_PATH/BPRE0.gba; Log in 08_tests/build/cfru-upstream.md.</x:v>
      </x:c>
      <x:c r="K41" s="22" t="str">
        <x:v>Build ausführen, Log auswerten.</x:v>
      </x:c>
      <x:c r="L41" s="22" t="str">
        <x:v>ROM/Buildausgabe committen.</x:v>
      </x:c>
      <x:c r="M41" s="22" t="str">
        <x:v>test.gba bootet; offsets/log sind dokumentiert.</x:v>
      </x:c>
      <x:c r="N41" s="22" t="str">
        <x:v>08_tests/build/cfru-upstream.md</x:v>
      </x:c>
      <x:c r="O41" s="23" t="str">
        <x:v>https://github.com/Skeli789/Complete-Fire-Red-Upgrade</x:v>
      </x:c>
    </x:row>
    <x:row r="42" ht="48" customHeight="1">
      <x:c r="A42" s="40" t="n">
        <x:v>41</x:v>
      </x:c>
      <x:c r="B42" s="22" t="str">
        <x:v>06 Baseline Build &amp; Smoke</x:v>
      </x:c>
      <x:c r="C42" s="44" t="str">
        <x:v>06.03</x:v>
      </x:c>
      <x:c r="D42" s="22" t="str">
        <x:v>DPE Gen9 Build auf Clean ROM testen</x:v>
      </x:c>
      <x:c r="E42" s="22" t="str">
        <x:v>DPE Gen9 kompiliert gegen Clean ROM; Ergebnis und offsets.ini sind dokumentiert.</x:v>
      </x:c>
      <x:c r="F42" s="44" t="str">
        <x:v>Noch offen</x:v>
      </x:c>
      <x:c r="G42" s="48" t="n">
        <x:v>0</x:v>
      </x:c>
      <x:c r="H42" s="44" t="str">
        <x:v>Du + Codex</x:v>
      </x:c>
      <x:c r="I42" s="44" t="str">
        <x:v>Mittel</x:v>
      </x:c>
      <x:c r="J42" s="22" t="str">
        <x:v>README-Buildfolge befolgen; kein CFRU vorher, außer Decision korrigiert das.</x:v>
      </x:c>
      <x:c r="K42" s="22" t="str">
        <x:v>Build ausführen, Log auswerten.</x:v>
      </x:c>
      <x:c r="L42" s="22" t="str">
        <x:v>DPE/CFRU-Reihenfolge spontan ändern.</x:v>
      </x:c>
      <x:c r="M42" s="22" t="str">
        <x:v>DPE test.gba bootet oder Fehler ist reproduzierbar dokumentiert.</x:v>
      </x:c>
      <x:c r="N42" s="22" t="str">
        <x:v>08_tests/build/dpe-gen9.md</x:v>
      </x:c>
      <x:c r="O42" s="23" t="str">
        <x:v>https://github.com/Shiny-Miner/Dynamic-Pokemon-Expansion-Gen-9</x:v>
      </x:c>
    </x:row>
    <x:row r="43" ht="48" customHeight="1">
      <x:c r="A43" s="40" t="n">
        <x:v>42</x:v>
      </x:c>
      <x:c r="B43" s="22" t="str">
        <x:v>06 Baseline Build &amp; Smoke</x:v>
      </x:c>
      <x:c r="C43" s="44" t="str">
        <x:v>06.04</x:v>
      </x:c>
      <x:c r="D43" s="22" t="str">
        <x:v>CFRU Gen9 nach DPE anwenden</x:v>
      </x:c>
      <x:c r="E43" s="22" t="str">
        <x:v>Gepaarter Gen9 CFRU-Fork wird auf DPE-ROM angewandt und bootet.</x:v>
      </x:c>
      <x:c r="F43" s="44" t="str">
        <x:v>Noch offen</x:v>
      </x:c>
      <x:c r="G43" s="48" t="n">
        <x:v>0</x:v>
      </x:c>
      <x:c r="H43" s="44" t="str">
        <x:v>Du + Codex</x:v>
      </x:c>
      <x:c r="I43" s="44" t="str">
        <x:v>Mittel</x:v>
      </x:c>
      <x:c r="J43" s="22" t="str">
        <x:v>a_makepy.bat/make.py nach Repo-Hinweis; Logs/HMA-Screens dokumentieren.</x:v>
      </x:c>
      <x:c r="K43" s="22" t="str">
        <x:v>Build ausführen, Log auswerten.</x:v>
      </x:c>
      <x:c r="L43" s="22" t="str">
        <x:v>Leon Rombase oder weitere ROM-Bases mischen.</x:v>
      </x:c>
      <x:c r="M43" s="22" t="str">
        <x:v>Custom Gen9 ROM bootet in BizHawk; Fehler reproduzierbar falls nicht.</x:v>
      </x:c>
      <x:c r="N43" s="22" t="str">
        <x:v>08_tests/build/cfru-gen9.md</x:v>
      </x:c>
      <x:c r="O43" s="23" t="str">
        <x:v>https://github.com/Shiny-Miner/CFRU-expansion</x:v>
      </x:c>
    </x:row>
    <x:row r="44" ht="48" customHeight="1">
      <x:c r="A44" s="40" t="n">
        <x:v>43</x:v>
      </x:c>
      <x:c r="B44" s="22" t="str">
        <x:v>06 Baseline Build &amp; Smoke</x:v>
      </x:c>
      <x:c r="C44" s="44" t="str">
        <x:v>06.05</x:v>
      </x:c>
      <x:c r="D44" s="22" t="str">
        <x:v>HMA Read-only Lesetest</x:v>
      </x:c>
      <x:c r="E44" s="22" t="str">
        <x:v>HMA öffnet Custom ROM; zentrale Tabellen sind auffindbar; keine Schreibaktion.</x:v>
      </x:c>
      <x:c r="F44" s="44" t="str">
        <x:v>Noch offen</x:v>
      </x:c>
      <x:c r="G44" s="48" t="n">
        <x:v>0</x:v>
      </x:c>
      <x:c r="H44" s="44" t="str">
        <x:v>Du</x:v>
      </x:c>
      <x:c r="I44" s="44" t="str">
        <x:v>Klein</x:v>
      </x:c>
      <x:c r="J44" s="22" t="str">
        <x:v>Vorher Backup; HMA nur öffnen/ansehen; Screens/Notizen in Tests.</x:v>
      </x:c>
      <x:c r="K44" s="22" t="str">
        <x:v>Read-only Analyse und Notizen.</x:v>
      </x:c>
      <x:c r="L44" s="22" t="str">
        <x:v>Speichern ohne Backup/Protokoll.</x:v>
      </x:c>
      <x:c r="M44" s="22" t="str">
        <x:v>HMA zeigt Pokédex/Moves/Trainers plausibel.</x:v>
      </x:c>
      <x:c r="N44" s="22" t="str">
        <x:v>08_tests/hma/custom-rom-read.md</x:v>
      </x:c>
      <x:c r="O44" s="23" t="str">
        <x:v>https://github.com/haven1433/HexManiacAdvance</x:v>
      </x:c>
    </x:row>
    <x:row r="45" ht="48" customHeight="1">
      <x:c r="A45" s="40" t="n">
        <x:v>44</x:v>
      </x:c>
      <x:c r="B45" s="22" t="str">
        <x:v>06 Baseline Build &amp; Smoke</x:v>
      </x:c>
      <x:c r="C45" s="44" t="str">
        <x:v>06.06</x:v>
      </x:c>
      <x:c r="D45" s="22" t="str">
        <x:v>Offsets/Tabelleninventar erfassen</x:v>
      </x:c>
      <x:c r="E45" s="22" t="str">
        <x:v>offsets.ini, HMA-Funde und vermutete UPR-Zieltabellen sind in einer ersten Table Map dokumentiert.</x:v>
      </x:c>
      <x:c r="F45" s="44" t="str">
        <x:v>Noch offen</x:v>
      </x:c>
      <x:c r="G45" s="48" t="n">
        <x:v>0</x:v>
      </x:c>
      <x:c r="H45" s="44" t="str">
        <x:v>Codex</x:v>
      </x:c>
      <x:c r="I45" s="44" t="str">
        <x:v>Mittel</x:v>
      </x:c>
      <x:c r="J45" s="22" t="str">
        <x:v>01_docs/references/table-map.md aus Build-Artefakten und HMA-Notizen erstellen.</x:v>
      </x:c>
      <x:c r="K45" s="22" t="str">
        <x:v>Inventar und offene Fragen dokumentieren.</x:v>
      </x:c>
      <x:c r="L45" s="22" t="str">
        <x:v>Adressen ohne Quelle eintragen.</x:v>
      </x:c>
      <x:c r="M45" s="22" t="str">
        <x:v>Jede Tabelle hat Quelle, Status und Testlink.</x:v>
      </x:c>
      <x:c r="N45" s="22" t="str">
        <x:v>01_docs/references/table-map.md</x:v>
      </x:c>
      <x:c r="O45" s="23"/>
    </x:row>
    <x:row r="46" ht="48" customHeight="1">
      <x:c r="A46" s="40" t="n">
        <x:v>45</x:v>
      </x:c>
      <x:c r="B46" s="22" t="str">
        <x:v>06 Baseline Build &amp; Smoke</x:v>
      </x:c>
      <x:c r="C46" s="44" t="str">
        <x:v>06.07</x:v>
      </x:c>
      <x:c r="D46" s="22" t="str">
        <x:v>Build-Wrapper schreiben</x:v>
      </x:c>
      <x:c r="E46" s="22" t="str">
        <x:v>Zentrale Scripts bauen mit env var ROM_PATH, schreiben Outputs nach 05_builds und committen keine ROMs.</x:v>
      </x:c>
      <x:c r="F46" s="44" t="str">
        <x:v>Noch offen</x:v>
      </x:c>
      <x:c r="G46" s="48" t="n">
        <x:v>0</x:v>
      </x:c>
      <x:c r="H46" s="44" t="str">
        <x:v>Codex</x:v>
      </x:c>
      <x:c r="I46" s="44" t="str">
        <x:v>Mittel</x:v>
      </x:c>
      <x:c r="J46" s="22" t="str">
        <x:v>07_scripts/build/build_*.ps1/.sh und README erstellen.</x:v>
      </x:c>
      <x:c r="K46" s="22" t="str">
        <x:v>Scripts schreiben, ohne private Pfade.</x:v>
      </x:c>
      <x:c r="L46" s="22" t="str">
        <x:v>Private absolute Pfade committen.</x:v>
      </x:c>
      <x:c r="M46" s="22" t="str">
        <x:v>Wrapper kann trocken laufen und erklärt erforderliche Env Vars.</x:v>
      </x:c>
      <x:c r="N46" s="22" t="str">
        <x:v>07_scripts/build/README.md</x:v>
      </x:c>
      <x:c r="O46" s="23"/>
    </x:row>
    <x:row r="47" ht="48" customHeight="1">
      <x:c r="A47" s="40" t="n">
        <x:v>46</x:v>
      </x:c>
      <x:c r="B47" s="22" t="str">
        <x:v>06 Baseline Build &amp; Smoke</x:v>
      </x:c>
      <x:c r="C47" s="44" t="str">
        <x:v>06.08</x:v>
      </x:c>
      <x:c r="D47" s="22" t="str">
        <x:v>Ersten Patch aus Clean ROM erstellen</x:v>
      </x:c>
      <x:c r="E47" s="22" t="str">
        <x:v>Reproduzierbarer Patch statt ROM-Datei liegt vor; Hashes sind dokumentiert.</x:v>
      </x:c>
      <x:c r="F47" s="44" t="str">
        <x:v>Noch offen</x:v>
      </x:c>
      <x:c r="G47" s="48" t="n">
        <x:v>0</x:v>
      </x:c>
      <x:c r="H47" s="44" t="str">
        <x:v>Du</x:v>
      </x:c>
      <x:c r="I47" s="44" t="str">
        <x:v>Klein</x:v>
      </x:c>
      <x:c r="J47" s="22" t="str">
        <x:v>UPS/BPS/IPS Tool nach Auswahl nutzen; Patch intern testen.</x:v>
      </x:c>
      <x:c r="K47" s="22" t="str">
        <x:v>Patch und Hash-Notiz erzeugen.</x:v>
      </x:c>
      <x:c r="L47" s="22" t="str">
        <x:v>GBA-Datei veröffentlichen.</x:v>
      </x:c>
      <x:c r="M47" s="22" t="str">
        <x:v>Patch rekonstruiert Build aus legaler Basis.</x:v>
      </x:c>
      <x:c r="N47" s="22" t="str">
        <x:v>06_patches/first-gen9-test.*; 08_tests/release/patch-apply.md</x:v>
      </x:c>
      <x:c r="O47" s="23"/>
    </x:row>
    <x:row r="48" ht="48" customHeight="1">
      <x:c r="A48" s="40" t="n">
        <x:v>47</x:v>
      </x:c>
      <x:c r="B48" s="22" t="str">
        <x:v>07 Randomizer-Kompatibilität</x:v>
      </x:c>
      <x:c r="C48" s="44" t="str">
        <x:v>07.01</x:v>
      </x:c>
      <x:c r="D48" s="22" t="str">
        <x:v>UPR FVX mit Vanilla FireRed testen</x:v>
      </x:c>
      <x:c r="E48" s="22" t="str">
        <x:v>Vanilla-Kontrolltest zeigt, dass FVX selbst und Java/CLI/GUI funktionieren.</x:v>
      </x:c>
      <x:c r="F48" s="44" t="str">
        <x:v>Noch offen</x:v>
      </x:c>
      <x:c r="G48" s="48" t="n">
        <x:v>0</x:v>
      </x:c>
      <x:c r="H48" s="44" t="str">
        <x:v>Du</x:v>
      </x:c>
      <x:c r="I48" s="44" t="str">
        <x:v>Klein</x:v>
      </x:c>
      <x:c r="J48" s="22" t="str">
        <x:v>Eine minimale Randomizer-Einstellung; Seed/Settings/Log sichern.</x:v>
      </x:c>
      <x:c r="K48" s="22" t="str">
        <x:v>Vanilla randomisieren und booten.</x:v>
      </x:c>
      <x:c r="L48" s="22" t="str">
        <x:v>Custom-ROM sofort mit allen Optionen testen.</x:v>
      </x:c>
      <x:c r="M48" s="22" t="str">
        <x:v>Randomized Vanilla ROM bootet; Log/Seed dokumentiert.</x:v>
      </x:c>
      <x:c r="N48" s="22" t="str">
        <x:v>08_tests/randomizer/fvx-vanilla.md</x:v>
      </x:c>
      <x:c r="O48" s="23" t="str">
        <x:v>https://upr-fvx.github.io/universal-pokemon-randomizer-fvx/downloads.html</x:v>
      </x:c>
    </x:row>
    <x:row r="49" ht="48" customHeight="1">
      <x:c r="A49" s="40" t="n">
        <x:v>48</x:v>
      </x:c>
      <x:c r="B49" s="22" t="str">
        <x:v>07 Randomizer-Kompatibilität</x:v>
      </x:c>
      <x:c r="C49" s="44" t="str">
        <x:v>07.02</x:v>
      </x:c>
      <x:c r="D49" s="22" t="str">
        <x:v>UPR FVX Minimaltest Custom ROM</x:v>
      </x:c>
      <x:c r="E49" s="22" t="str">
        <x:v>Custom Gen9 ROM wird mit einer minimalen Option getestet; Erfolg/Crash ist reproduzierbar.</x:v>
      </x:c>
      <x:c r="F49" s="44" t="str">
        <x:v>Noch offen</x:v>
      </x:c>
      <x:c r="G49" s="48" t="n">
        <x:v>0</x:v>
      </x:c>
      <x:c r="H49" s="44" t="str">
        <x:v>Du</x:v>
      </x:c>
      <x:c r="I49" s="44" t="str">
        <x:v>Klein</x:v>
      </x:c>
      <x:c r="J49" s="22" t="str">
        <x:v>Eine Option je Lauf; Stacktrace/Seed/Settings erfassen.</x:v>
      </x:c>
      <x:c r="K49" s="22" t="str">
        <x:v>Test ausführen und protokollieren.</x:v>
      </x:c>
      <x:c r="L49" s="22" t="str">
        <x:v>Alle Features gleichzeitig aktivieren.</x:v>
      </x:c>
      <x:c r="M49" s="22" t="str">
        <x:v>Pass/Fail ist reproduzierbar dokumentiert.</x:v>
      </x:c>
      <x:c r="N49" s="22" t="str">
        <x:v>08_tests/randomizer/fvx-custom-minimal.md</x:v>
      </x:c>
      <x:c r="O49" s="23" t="str">
        <x:v>https://github.com/Ajarmar/universal-pokemon-randomizer-zx/issues/873</x:v>
      </x:c>
    </x:row>
    <x:row r="50" ht="48" customHeight="1">
      <x:c r="A50" s="40" t="n">
        <x:v>49</x:v>
      </x:c>
      <x:c r="B50" s="22" t="str">
        <x:v>07 Randomizer-Kompatibilität</x:v>
      </x:c>
      <x:c r="C50" s="44" t="str">
        <x:v>07.03</x:v>
      </x:c>
      <x:c r="D50" s="22" t="str">
        <x:v>Fehlerlogs klassifizieren</x:v>
      </x:c>
      <x:c r="E50" s="22" t="str">
        <x:v>Fehler werden nach ROM-Erkennung, Tabellenoffset, Count, Feature oder Java/GUI kategorisiert.</x:v>
      </x:c>
      <x:c r="F50" s="44" t="str">
        <x:v>Noch offen</x:v>
      </x:c>
      <x:c r="G50" s="48" t="n">
        <x:v>0</x:v>
      </x:c>
      <x:c r="H50" s="44" t="str">
        <x:v>Codex</x:v>
      </x:c>
      <x:c r="I50" s="44" t="str">
        <x:v>Mittel</x:v>
      </x:c>
      <x:c r="J50" s="22" t="str">
        <x:v>Logs in 01_docs/randomizer/error-taxonomy.md mappen.</x:v>
      </x:c>
      <x:c r="K50" s="22" t="str">
        <x:v>Logs auswerten und Hypothesen notieren.</x:v>
      </x:c>
      <x:c r="L50" s="22" t="str">
        <x:v>Code ändern ohne reproduzierbaren Fehler.</x:v>
      </x:c>
      <x:c r="M50" s="22" t="str">
        <x:v>error-taxonomy.md enthält Ursache/Hypothese/Nächster Test.</x:v>
      </x:c>
      <x:c r="N50" s="22" t="str">
        <x:v>01_docs/randomizer/error-taxonomy.md</x:v>
      </x:c>
      <x:c r="O50" s="23" t="str">
        <x:v>https://github.com/upr-fvx/universal-pokemon-randomizer-fvx</x:v>
      </x:c>
    </x:row>
    <x:row r="51" ht="48" customHeight="1">
      <x:c r="A51" s="40" t="n">
        <x:v>50</x:v>
      </x:c>
      <x:c r="B51" s="22" t="str">
        <x:v>07 Randomizer-Kompatibilität</x:v>
      </x:c>
      <x:c r="C51" s="44" t="str">
        <x:v>07.04</x:v>
      </x:c>
      <x:c r="D51" s="22" t="str">
        <x:v>FVX Gen3 Handler gegen Custom ROM mappen</x:v>
      </x:c>
      <x:c r="E51" s="22" t="str">
        <x:v>ROM-Layout und FVX-Handler-Annahmen sind tabellarisch verglichen.</x:v>
      </x:c>
      <x:c r="F51" s="44" t="str">
        <x:v>Noch offen</x:v>
      </x:c>
      <x:c r="G51" s="48" t="n">
        <x:v>0</x:v>
      </x:c>
      <x:c r="H51" s="44" t="str">
        <x:v>Codex</x:v>
      </x:c>
      <x:c r="I51" s="44" t="str">
        <x:v>Mittel</x:v>
      </x:c>
      <x:c r="J51" s="22" t="str">
        <x:v>Gen3RomHandler/Gen3Constants lesen; table-map.md ergänzen.</x:v>
      </x:c>
      <x:c r="K51" s="22" t="str">
        <x:v>Quellcode lesen, Map ergänzen.</x:v>
      </x:c>
      <x:c r="L51" s="22" t="str">
        <x:v>Offsets ohne Quelle patchen.</x:v>
      </x:c>
      <x:c r="M51" s="22" t="str">
        <x:v>Jede Kernannahme hat Quelle oder offene Frage.</x:v>
      </x:c>
      <x:c r="N51" s="22" t="str">
        <x:v>01_docs/randomizer/gen3-handler-map.md</x:v>
      </x:c>
      <x:c r="O51" s="23" t="str">
        <x:v>https://github.com/upr-fvx/universal-pokemon-randomizer-fvx</x:v>
      </x:c>
    </x:row>
    <x:row r="52" ht="48" customHeight="1">
      <x:c r="A52" s="40" t="n">
        <x:v>51</x:v>
      </x:c>
      <x:c r="B52" s="22" t="str">
        <x:v>07 Randomizer-Kompatibilität</x:v>
      </x:c>
      <x:c r="C52" s="44" t="str">
        <x:v>07.05</x:v>
      </x:c>
      <x:c r="D52" s="22" t="str">
        <x:v>Strategieentscheidung ROM vs FVX-Fork treffen</x:v>
      </x:c>
      <x:c r="E52" s="22" t="str">
        <x:v>Entscheidung: Custom ROM an FVX anpassen oder FVX an Custom-Layout anpassen.</x:v>
      </x:c>
      <x:c r="F52" s="44" t="str">
        <x:v>Noch offen</x:v>
      </x:c>
      <x:c r="G52" s="48" t="n">
        <x:v>0</x:v>
      </x:c>
      <x:c r="H52" s="44" t="str">
        <x:v>Du + ChatGPT</x:v>
      </x:c>
      <x:c r="I52" s="44" t="str">
        <x:v>Klein</x:v>
      </x:c>
      <x:c r="J52" s="22" t="str">
        <x:v>Decision Log mit Pros/Cons, Risiken, Quellen und Testaufwand.</x:v>
      </x:c>
      <x:c r="K52" s="22" t="str">
        <x:v>Entscheidung vorbereiten.</x:v>
      </x:c>
      <x:c r="L52" s="22" t="str">
        <x:v>Beide Wege parallel unkoordiniert verfolgen.</x:v>
      </x:c>
      <x:c r="M52" s="22" t="str">
        <x:v>randomizer-strategy.md ist abgeschlossen.</x:v>
      </x:c>
      <x:c r="N52" s="22" t="str">
        <x:v>01_docs/decisions/randomizer-strategy.md</x:v>
      </x:c>
      <x:c r="O52" s="23"/>
    </x:row>
    <x:row r="53" ht="48" customHeight="1">
      <x:c r="A53" s="40" t="n">
        <x:v>52</x:v>
      </x:c>
      <x:c r="B53" s="22" t="str">
        <x:v>07 Randomizer-Kompatibilität</x:v>
      </x:c>
      <x:c r="C53" s="44" t="str">
        <x:v>07.06</x:v>
      </x:c>
      <x:c r="D53" s="22" t="str">
        <x:v>Cyan-randomizer-natdex Diffs auswerten</x:v>
      </x:c>
      <x:c r="E53" s="22" t="str">
        <x:v>Übertragbare NatDex-Anpassungen aus CyanSMP64/UPR-ZX-natdex sind dokumentiert.</x:v>
      </x:c>
      <x:c r="F53" s="44" t="str">
        <x:v>Noch offen</x:v>
      </x:c>
      <x:c r="G53" s="48" t="n">
        <x:v>0</x:v>
      </x:c>
      <x:c r="H53" s="44" t="str">
        <x:v>Codex</x:v>
      </x:c>
      <x:c r="I53" s="44" t="str">
        <x:v>Mittel</x:v>
      </x:c>
      <x:c r="J53" s="22" t="str">
        <x:v>Diff nach Gen3 handler, settings/rnqs, ROM-ID, Species Count trennen.</x:v>
      </x:c>
      <x:c r="K53" s="22" t="str">
        <x:v>Diff lesen und dokumentieren.</x:v>
      </x:c>
      <x:c r="L53" s="22" t="str">
        <x:v>ZX-natdex direkt als Haupt-Randomizer setzen.</x:v>
      </x:c>
      <x:c r="M53" s="22" t="str">
        <x:v>cyan-natdex-diff.md enthält Übernahmen/Nicht-Übernahmen.</x:v>
      </x:c>
      <x:c r="N53" s="22" t="str">
        <x:v>01_docs/randomizer/cyan-natdex-diff.md</x:v>
      </x:c>
      <x:c r="O53" s="23" t="str">
        <x:v>https://github.com/CyanSMP64/universal-pokemon-randomizer-zx/tree/natdex</x:v>
      </x:c>
    </x:row>
    <x:row r="54" ht="48" customHeight="1">
      <x:c r="A54" s="40" t="n">
        <x:v>53</x:v>
      </x:c>
      <x:c r="B54" s="22" t="str">
        <x:v>07 Randomizer-Kompatibilität</x:v>
      </x:c>
      <x:c r="C54" s="44" t="str">
        <x:v>07.07</x:v>
      </x:c>
      <x:c r="D54" s="22" t="str">
        <x:v>FVX Custom-Branch vorbereiten</x:v>
      </x:c>
      <x:c r="E54" s="22" t="str">
        <x:v>Eigener FVX-Branch für Custom FireRed hat minimale ROM-Erkennung und dokumentierte Testgrenzen.</x:v>
      </x:c>
      <x:c r="F54" s="44" t="str">
        <x:v>Noch offen</x:v>
      </x:c>
      <x:c r="G54" s="48" t="n">
        <x:v>0</x:v>
      </x:c>
      <x:c r="H54" s="44" t="str">
        <x:v>Codex</x:v>
      </x:c>
      <x:c r="I54" s="44" t="str">
        <x:v>Mittel</x:v>
      </x:c>
      <x:c r="J54" s="22" t="str">
        <x:v>Branch in 02_external/upr-fvx; nur kleine Änderungen; Tests/Docs zuerst.</x:v>
      </x:c>
      <x:c r="K54" s="22" t="str">
        <x:v>Branch und minimalen Code ändern.</x:v>
      </x:c>
      <x:c r="L54" s="22" t="str">
        <x:v>GUI großflächig umbauen oder unrelated Refactor.</x:v>
      </x:c>
      <x:c r="M54" s="22" t="str">
        <x:v>Custom ROM wird nicht als Vanilla fehlklassifiziert.</x:v>
      </x:c>
      <x:c r="N54" s="22" t="str">
        <x:v>02_external/upr-fvx branch; 01_docs/randomizer/fvx-branch.md</x:v>
      </x:c>
      <x:c r="O54" s="23" t="str">
        <x:v>https://github.com/upr-fvx/universal-pokemon-randomizer-fvx</x:v>
      </x:c>
    </x:row>
    <x:row r="55" ht="48" customHeight="1">
      <x:c r="A55" s="40" t="n">
        <x:v>54</x:v>
      </x:c>
      <x:c r="B55" s="22" t="str">
        <x:v>07 Randomizer-Kompatibilität</x:v>
      </x:c>
      <x:c r="C55" s="44" t="str">
        <x:v>07.08</x:v>
      </x:c>
      <x:c r="D55" s="22" t="str">
        <x:v>Species/Forms/Counts randomizerfähig machen</x:v>
      </x:c>
      <x:c r="E55" s="22" t="str">
        <x:v>FVX liest korrekte Species-/Form-/Pokédex-Grenzen oder behandelt offene Grenzen sicher.</x:v>
      </x:c>
      <x:c r="F55" s="44" t="str">
        <x:v>Noch offen</x:v>
      </x:c>
      <x:c r="G55" s="48" t="n">
        <x:v>0</x:v>
      </x:c>
      <x:c r="H55" s="44" t="str">
        <x:v>Codex</x:v>
      </x:c>
      <x:c r="I55" s="44" t="str">
        <x:v>Mittel</x:v>
      </x:c>
      <x:c r="J55" s="22" t="str">
        <x:v>Ein Task nur für Counts/Species; Testfälle ohne private ROMs wo möglich.</x:v>
      </x:c>
      <x:c r="K55" s="22" t="str">
        <x:v>Gezielte Handler-Anpassung.</x:v>
      </x:c>
      <x:c r="L55" s="22" t="str">
        <x:v>Wild/Trainer/Moves gleichzeitig ändern.</x:v>
      </x:c>
      <x:c r="M55" s="22" t="str">
        <x:v>Count-bezogene Tests/Logs bestehen oder sind erklärt.</x:v>
      </x:c>
      <x:c r="N55" s="22" t="str">
        <x:v>01_docs/randomizer/species-counts.md; FVX 08_tests/logs</x:v>
      </x:c>
      <x:c r="O55" s="23"/>
    </x:row>
    <x:row r="56" ht="48" customHeight="1">
      <x:c r="A56" s="40" t="n">
        <x:v>55</x:v>
      </x:c>
      <x:c r="B56" s="22" t="str">
        <x:v>07 Randomizer-Kompatibilität</x:v>
      </x:c>
      <x:c r="C56" s="44" t="str">
        <x:v>07.09</x:v>
      </x:c>
      <x:c r="D56" s="22" t="str">
        <x:v>Wild Encounters einzeln testen</x:v>
      </x:c>
      <x:c r="E56" s="22" t="str">
        <x:v>Wild-Randomization funktioniert oder Fehler sind klar auf Encounter-Tabellen mappbar.</x:v>
      </x:c>
      <x:c r="F56" s="44" t="str">
        <x:v>Noch offen</x:v>
      </x:c>
      <x:c r="G56" s="48" t="n">
        <x:v>0</x:v>
      </x:c>
      <x:c r="H56" s="44" t="str">
        <x:v>Du + Codex</x:v>
      </x:c>
      <x:c r="I56" s="44" t="str">
        <x:v>Mittel</x:v>
      </x:c>
      <x:c r="J56" s="22" t="str">
        <x:v>Nur Wild-Option; Seed/Settings/Log; BizHawk Smoke.</x:v>
      </x:c>
      <x:c r="K56" s="22" t="str">
        <x:v>Feature isoliert testen/anpassen.</x:v>
      </x:c>
      <x:c r="L56" s="22" t="str">
        <x:v>Trainer/Moves/Items gleichzeitig aktivieren.</x:v>
      </x:c>
      <x:c r="M56" s="22" t="str">
        <x:v>Wild-Randomization bootet und erste Encounters sind plausibel.</x:v>
      </x:c>
      <x:c r="N56" s="22" t="str">
        <x:v>08_tests/randomizer/wild.md</x:v>
      </x:c>
      <x:c r="O56" s="23"/>
    </x:row>
    <x:row r="57" ht="48" customHeight="1">
      <x:c r="A57" s="40" t="n">
        <x:v>56</x:v>
      </x:c>
      <x:c r="B57" s="22" t="str">
        <x:v>07 Randomizer-Kompatibilität</x:v>
      </x:c>
      <x:c r="C57" s="44" t="str">
        <x:v>07.10</x:v>
      </x:c>
      <x:c r="D57" s="22" t="str">
        <x:v>Trainer Pokémon einzeln testen</x:v>
      </x:c>
      <x:c r="E57" s="22" t="str">
        <x:v>Trainer-Randomization funktioniert oder Fehler sind auf Trainerdaten/Party-Struktur mappbar.</x:v>
      </x:c>
      <x:c r="F57" s="44" t="str">
        <x:v>Noch offen</x:v>
      </x:c>
      <x:c r="G57" s="48" t="n">
        <x:v>0</x:v>
      </x:c>
      <x:c r="H57" s="44" t="str">
        <x:v>Du + Codex</x:v>
      </x:c>
      <x:c r="I57" s="44" t="str">
        <x:v>Mittel</x:v>
      </x:c>
      <x:c r="J57" s="22" t="str">
        <x:v>Nur Trainer-Option; mehrere frühe Trainer testen.</x:v>
      </x:c>
      <x:c r="K57" s="22" t="str">
        <x:v>Feature isoliert testen/anpassen.</x:v>
      </x:c>
      <x:c r="L57" s="22" t="str">
        <x:v>Movesets/Abilities gleichzeitig tief testen.</x:v>
      </x:c>
      <x:c r="M57" s="22" t="str">
        <x:v>Trainerbattle bootet und Logs sind plausibel.</x:v>
      </x:c>
      <x:c r="N57" s="22" t="str">
        <x:v>08_tests/randomizer/trainers.md</x:v>
      </x:c>
      <x:c r="O57" s="23"/>
    </x:row>
    <x:row r="58" ht="48" customHeight="1">
      <x:c r="A58" s="40" t="n">
        <x:v>57</x:v>
      </x:c>
      <x:c r="B58" s="22" t="str">
        <x:v>07 Randomizer-Kompatibilität</x:v>
      </x:c>
      <x:c r="C58" s="44" t="str">
        <x:v>07.11</x:v>
      </x:c>
      <x:c r="D58" s="22" t="str">
        <x:v>Movesets/Abilities/Items einzeln testen</x:v>
      </x:c>
      <x:c r="E58" s="22" t="str">
        <x:v>Tiefe Tabellenfunktionen werden jeweils isoliert getestet.</x:v>
      </x:c>
      <x:c r="F58" s="44" t="str">
        <x:v>Noch offen</x:v>
      </x:c>
      <x:c r="G58" s="48" t="n">
        <x:v>0</x:v>
      </x:c>
      <x:c r="H58" s="44" t="str">
        <x:v>Du + Codex</x:v>
      </x:c>
      <x:c r="I58" s="44" t="str">
        <x:v>Mittel</x:v>
      </x:c>
      <x:c r="J58" s="22" t="str">
        <x:v>Move/Ability/Item-Optionen getrennt testen; HMA/Logs als Crosscheck.</x:v>
      </x:c>
      <x:c r="K58" s="22" t="str">
        <x:v>Kleine Feature-Tests/anpassungen.</x:v>
      </x:c>
      <x:c r="L58" s="22" t="str">
        <x:v>Alles in einem Patch ändern.</x:v>
      </x:c>
      <x:c r="M58" s="22" t="str">
        <x:v>Pass/Fail pro Feature in Feature-Matrix.</x:v>
      </x:c>
      <x:c r="N58" s="22" t="str">
        <x:v>08_tests/randomizer/deep-features.md</x:v>
      </x:c>
      <x:c r="O58" s="23"/>
    </x:row>
    <x:row r="59" ht="48" customHeight="1">
      <x:c r="A59" s="40" t="n">
        <x:v>58</x:v>
      </x:c>
      <x:c r="B59" s="22" t="str">
        <x:v>07 Randomizer-Kompatibilität</x:v>
      </x:c>
      <x:c r="C59" s="44" t="str">
        <x:v>07.12</x:v>
      </x:c>
      <x:c r="D59" s="22" t="str">
        <x:v>Evolutions/Learnsets/Forms testen</x:v>
      </x:c>
      <x:c r="E59" s="22" t="str">
        <x:v>Formen, Evolutionslogik und Learnsets sind nach Gen9-Erweiterung randomizerfest oder eingeschränkt dokumentiert.</x:v>
      </x:c>
      <x:c r="F59" s="44" t="str">
        <x:v>Noch offen</x:v>
      </x:c>
      <x:c r="G59" s="48" t="n">
        <x:v>0</x:v>
      </x:c>
      <x:c r="H59" s="44" t="str">
        <x:v>Du + Codex</x:v>
      </x:c>
      <x:c r="I59" s="44" t="str">
        <x:v>Mittel</x:v>
      </x:c>
      <x:c r="J59" s="22" t="str">
        <x:v>Gezielte Seeds/Species prüfen; Fehler in Known Issues.</x:v>
      </x:c>
      <x:c r="K59" s="22" t="str">
        <x:v>Feature isoliert testen/anpassen.</x:v>
      </x:c>
      <x:c r="L59" s="22" t="str">
        <x:v>Einschränkungen verschweigen.</x:v>
      </x:c>
      <x:c r="M59" s="22" t="str">
        <x:v>Known Issues oder Pass-Test pro Bereich.</x:v>
      </x:c>
      <x:c r="N59" s="22" t="str">
        <x:v>08_tests/randomizer/forms-evolutions-learnsets.md</x:v>
      </x:c>
      <x:c r="O59" s="23"/>
    </x:row>
    <x:row r="60" ht="48" customHeight="1">
      <x:c r="A60" s="40" t="n">
        <x:v>59</x:v>
      </x:c>
      <x:c r="B60" s="22" t="str">
        <x:v>07 Randomizer-Kompatibilität</x:v>
      </x:c>
      <x:c r="C60" s="44" t="str">
        <x:v>07.13</x:v>
      </x:c>
      <x:c r="D60" s="22" t="str">
        <x:v>Seed-/Settings-Reproduzierbarkeit prüfen</x:v>
      </x:c>
      <x:c r="E60" s="22" t="str">
        <x:v>Gleicher Seed + gleiche Settings erzeugen reproduzierbare Outputs oder dokumentierte Abweichungen.</x:v>
      </x:c>
      <x:c r="F60" s="44" t="str">
        <x:v>Noch offen</x:v>
      </x:c>
      <x:c r="G60" s="48" t="n">
        <x:v>0</x:v>
      </x:c>
      <x:c r="H60" s="44" t="str">
        <x:v>Du</x:v>
      </x:c>
      <x:c r="I60" s="44" t="str">
        <x:v>Klein</x:v>
      </x:c>
      <x:c r="J60" s="22" t="str">
        <x:v>Zwei Läufe, Hashvergleich, Logs sichern.</x:v>
      </x:c>
      <x:c r="K60" s="22" t="str">
        <x:v>Repro-Tests durchführen.</x:v>
      </x:c>
      <x:c r="L60" s="22" t="str">
        <x:v>Nur visuell prüfen.</x:v>
      </x:c>
      <x:c r="M60" s="22" t="str">
        <x:v>Hashes/Logs stimmen oder Abweichung ist erklärt.</x:v>
      </x:c>
      <x:c r="N60" s="22" t="str">
        <x:v>08_tests/randomizer/reproducibility.md</x:v>
      </x:c>
      <x:c r="O60" s="23" t="str">
        <x:v>https://github.com/upr-fvx/universal-pokemon-randomizer-fvx</x:v>
      </x:c>
    </x:row>
    <x:row r="61" ht="48" customHeight="1">
      <x:c r="A61" s="40" t="n">
        <x:v>60</x:v>
      </x:c>
      <x:c r="B61" s="22" t="str">
        <x:v>08 BizHawk &amp; Ironmon</x:v>
      </x:c>
      <x:c r="C61" s="44" t="str">
        <x:v>08.01</x:v>
      </x:c>
      <x:c r="D61" s="22" t="str">
        <x:v>Vanilla Ironmon-Baseline</x:v>
      </x:c>
      <x:c r="E61" s="22" t="str">
        <x:v>Ironmon Tracker läuft mit Vanilla FireRed in BizHawk; Emulator/Tracker-Konfiguration ist korrekt.</x:v>
      </x:c>
      <x:c r="F61" s="44" t="str">
        <x:v>Noch offen</x:v>
      </x:c>
      <x:c r="G61" s="48" t="n">
        <x:v>0</x:v>
      </x:c>
      <x:c r="H61" s="44" t="str">
        <x:v>Du</x:v>
      </x:c>
      <x:c r="I61" s="44" t="str">
        <x:v>Klein</x:v>
      </x:c>
      <x:c r="J61" s="22" t="str">
        <x:v>BizHawk + Tracker starten; FireRed vanilla; Screenshot/Notiz.</x:v>
      </x:c>
      <x:c r="K61" s="22" t="str">
        <x:v>Baseline testen.</x:v>
      </x:c>
      <x:c r="L61" s="22" t="str">
        <x:v>Custom-ROM zuerst testen.</x:v>
      </x:c>
      <x:c r="M61" s="22" t="str">
        <x:v>Tracker zeigt Vanilla-Daten korrekt.</x:v>
      </x:c>
      <x:c r="N61" s="22" t="str">
        <x:v>08_tests/ironmon/vanilla.md</x:v>
      </x:c>
      <x:c r="O61" s="23" t="str">
        <x:v>https://github.com/besteon/Ironmon-Tracker</x:v>
      </x:c>
    </x:row>
    <x:row r="62" ht="48" customHeight="1">
      <x:c r="A62" s="40" t="n">
        <x:v>61</x:v>
      </x:c>
      <x:c r="B62" s="22" t="str">
        <x:v>08 BizHawk &amp; Ironmon</x:v>
      </x:c>
      <x:c r="C62" s="44" t="str">
        <x:v>08.02</x:v>
      </x:c>
      <x:c r="D62" s="22" t="str">
        <x:v>Custom ROM Ironmon Smoke Test</x:v>
      </x:c>
      <x:c r="E62" s="22" t="str">
        <x:v>Tracker crasht nicht mit Custom ROM; falsche Anzeigen werden protokolliert.</x:v>
      </x:c>
      <x:c r="F62" s="44" t="str">
        <x:v>Noch offen</x:v>
      </x:c>
      <x:c r="G62" s="48" t="n">
        <x:v>0</x:v>
      </x:c>
      <x:c r="H62" s="44" t="str">
        <x:v>Du</x:v>
      </x:c>
      <x:c r="I62" s="44" t="str">
        <x:v>Klein</x:v>
      </x:c>
      <x:c r="J62" s="22" t="str">
        <x:v>Custom ROM laden, Tracker starten, keine Anpassung.</x:v>
      </x:c>
      <x:c r="K62" s="22" t="str">
        <x:v>Smoke Test protokollieren.</x:v>
      </x:c>
      <x:c r="L62" s="22" t="str">
        <x:v>Falsche Werte ignorieren.</x:v>
      </x:c>
      <x:c r="M62" s="22" t="str">
        <x:v>Pass/Fail plus Screenshot/Log.</x:v>
      </x:c>
      <x:c r="N62" s="22" t="str">
        <x:v>08_tests/ironmon/custom-smoke.md</x:v>
      </x:c>
      <x:c r="O62" s="23" t="str">
        <x:v>https://github.com/besteon/Ironmon-Tracker/releases</x:v>
      </x:c>
    </x:row>
    <x:row r="63" ht="48" customHeight="1">
      <x:c r="A63" s="40" t="n">
        <x:v>62</x:v>
      </x:c>
      <x:c r="B63" s="22" t="str">
        <x:v>08 BizHawk &amp; Ironmon</x:v>
      </x:c>
      <x:c r="C63" s="44" t="str">
        <x:v>08.03</x:v>
      </x:c>
      <x:c r="D63" s="22" t="str">
        <x:v>Tracker-Annahmen erfassen</x:v>
      </x:c>
      <x:c r="E63" s="22" t="str">
        <x:v>RAM/ROM-Adressen, Species Count, Typen, Abilities, Moves und UI-Grenzen sind dokumentiert.</x:v>
      </x:c>
      <x:c r="F63" s="44" t="str">
        <x:v>Noch offen</x:v>
      </x:c>
      <x:c r="G63" s="48" t="n">
        <x:v>0</x:v>
      </x:c>
      <x:c r="H63" s="44" t="str">
        <x:v>Codex</x:v>
      </x:c>
      <x:c r="I63" s="44" t="str">
        <x:v>Mittel</x:v>
      </x:c>
      <x:c r="J63" s="22" t="str">
        <x:v>Tracker Lua lesen; 01_docs/ironmon/tracker-map.md schreiben.</x:v>
      </x:c>
      <x:c r="K63" s="22" t="str">
        <x:v>Lua lesen und Map erstellen.</x:v>
      </x:c>
      <x:c r="L63" s="22" t="str">
        <x:v>Core-Lua patchen vor Analyse.</x:v>
      </x:c>
      <x:c r="M63" s="22" t="str">
        <x:v>tracker-map.md enthält Annahme/Quelle/Test.</x:v>
      </x:c>
      <x:c r="N63" s="22" t="str">
        <x:v>01_docs/ironmon/tracker-map.md</x:v>
      </x:c>
      <x:c r="O63" s="23" t="str">
        <x:v>https://github.com/besteon/Ironmon-Tracker</x:v>
      </x:c>
    </x:row>
    <x:row r="64" ht="48" customHeight="1">
      <x:c r="A64" s="40" t="n">
        <x:v>63</x:v>
      </x:c>
      <x:c r="B64" s="22" t="str">
        <x:v>08 BizHawk &amp; Ironmon</x:v>
      </x:c>
      <x:c r="C64" s="44" t="str">
        <x:v>08.04</x:v>
      </x:c>
      <x:c r="D64" s="22" t="str">
        <x:v>Cyan NatDexExtension analysieren</x:v>
      </x:c>
      <x:c r="E64" s="22" t="str">
        <x:v>Cyan-Extension wird als möglicher Startpunkt für NatDex/Tracker-Support bewertet.</x:v>
      </x:c>
      <x:c r="F64" s="44" t="str">
        <x:v>Noch offen</x:v>
      </x:c>
      <x:c r="G64" s="48" t="n">
        <x:v>0</x:v>
      </x:c>
      <x:c r="H64" s="44" t="str">
        <x:v>Codex</x:v>
      </x:c>
      <x:c r="I64" s="44" t="str">
        <x:v>Mittel</x:v>
      </x:c>
      <x:c r="J64" s="22" t="str">
        <x:v>NatDexExtension.lua und Releases/rnqs analysieren.</x:v>
      </x:c>
      <x:c r="K64" s="22" t="str">
        <x:v>Extension-API und Grenzen dokumentieren.</x:v>
      </x:c>
      <x:c r="L64" s="22" t="str">
        <x:v>Blind übernehmen.</x:v>
      </x:c>
      <x:c r="M64" s="22" t="str">
        <x:v>cyan-extension-analysis.md enthält Installationsweg, Grenzen, Übertragbarkeit.</x:v>
      </x:c>
      <x:c r="N64" s="22" t="str">
        <x:v>01_docs/ironmon/cyan-extension-analysis.md</x:v>
      </x:c>
      <x:c r="O64" s="23" t="str">
        <x:v>https://github.com/CyanSMP64/NatDexExtension</x:v>
      </x:c>
    </x:row>
    <x:row r="65" ht="48" customHeight="1">
      <x:c r="A65" s="40" t="n">
        <x:v>64</x:v>
      </x:c>
      <x:c r="B65" s="22" t="str">
        <x:v>08 BizHawk &amp; Ironmon</x:v>
      </x:c>
      <x:c r="C65" s="44" t="str">
        <x:v>08.05</x:v>
      </x:c>
      <x:c r="D65" s="22" t="str">
        <x:v>Extension-Strategie statt Core-Hack entscheiden</x:v>
      </x:c>
      <x:c r="E65" s="22" t="str">
        <x:v>Tracker-Anpassung soll möglichst als Extension/Config statt Core-Fork passieren.</x:v>
      </x:c>
      <x:c r="F65" s="44" t="str">
        <x:v>Noch offen</x:v>
      </x:c>
      <x:c r="G65" s="48" t="n">
        <x:v>0</x:v>
      </x:c>
      <x:c r="H65" s="44" t="str">
        <x:v>Du + ChatGPT</x:v>
      </x:c>
      <x:c r="I65" s="44" t="str">
        <x:v>Klein</x:v>
      </x:c>
      <x:c r="J65" s="22" t="str">
        <x:v>Entscheidungsdokument mit Core-Fork vs Extension.</x:v>
      </x:c>
      <x:c r="K65" s="22" t="str">
        <x:v>Decision Log erstellen.</x:v>
      </x:c>
      <x:c r="L65" s="22" t="str">
        <x:v>Tracker-Core unkoordiniert forken.</x:v>
      </x:c>
      <x:c r="M65" s="22" t="str">
        <x:v>ironmon-strategy.md ist abgeschlossen.</x:v>
      </x:c>
      <x:c r="N65" s="22" t="str">
        <x:v>01_docs/decisions/ironmon-strategy.md</x:v>
      </x:c>
      <x:c r="O65" s="23"/>
    </x:row>
    <x:row r="66" ht="48" customHeight="1">
      <x:c r="A66" s="40" t="n">
        <x:v>65</x:v>
      </x:c>
      <x:c r="B66" s="22" t="str">
        <x:v>08 BizHawk &amp; Ironmon</x:v>
      </x:c>
      <x:c r="C66" s="44" t="str">
        <x:v>08.06</x:v>
      </x:c>
      <x:c r="D66" s="22" t="str">
        <x:v>New Runs + Randomizer Integration testen</x:v>
      </x:c>
      <x:c r="E66" s="22" t="str">
        <x:v>Ironmon New Runs kann mit Custom ROM/FVX-Settings nachvollziehbar arbeiten oder Grenzen sind klar.</x:v>
      </x:c>
      <x:c r="F66" s="44" t="str">
        <x:v>Noch offen</x:v>
      </x:c>
      <x:c r="G66" s="48" t="n">
        <x:v>0</x:v>
      </x:c>
      <x:c r="H66" s="44" t="str">
        <x:v>Du + Codex</x:v>
      </x:c>
      <x:c r="I66" s="44" t="str">
        <x:v>Mittel</x:v>
      </x:c>
      <x:c r="J66" s="22" t="str">
        <x:v>Cyan rnqs-Ansatz ansehen; Source ROM/Randomizer JAR/Settings-Profil dokumentieren.</x:v>
      </x:c>
      <x:c r="K66" s="22" t="str">
        <x:v>Integration testen und loggen.</x:v>
      </x:c>
      <x:c r="L66" s="22" t="str">
        <x:v>Automatisierte ROM-Erzeugung ohne ROM-Policy.</x:v>
      </x:c>
      <x:c r="M66" s="22" t="str">
        <x:v>New Run Setup erzeugt erwartete Dateien; keine ROMs im Git.</x:v>
      </x:c>
      <x:c r="N66" s="22" t="str">
        <x:v>08_tests/ironmon/new-run.md</x:v>
      </x:c>
      <x:c r="O66" s="23" t="str">
        <x:v>https://github.com/CyanSMP64/NatDexExtension/releases</x:v>
      </x:c>
    </x:row>
    <x:row r="67" ht="48" customHeight="1">
      <x:c r="A67" s="40" t="n">
        <x:v>66</x:v>
      </x:c>
      <x:c r="B67" s="22" t="str">
        <x:v>09 QA, Regression &amp; Release</x:v>
      </x:c>
      <x:c r="C67" s="44" t="str">
        <x:v>09.01</x:v>
      </x:c>
      <x:c r="D67" s="22" t="str">
        <x:v>Smoke-Test nach jedem Build standardisieren</x:v>
      </x:c>
      <x:c r="E67" s="22" t="str">
        <x:v>Jeder Build bekommt Boot, Title, Wild, Trainer, Save/Load, HMA-open und ggf. Tracker-Smoke.</x:v>
      </x:c>
      <x:c r="F67" s="44" t="str">
        <x:v>Noch offen</x:v>
      </x:c>
      <x:c r="G67" s="48" t="n">
        <x:v>0</x:v>
      </x:c>
      <x:c r="H67" s="44" t="str">
        <x:v>Du + Codex</x:v>
      </x:c>
      <x:c r="I67" s="44" t="str">
        <x:v>Klein</x:v>
      </x:c>
      <x:c r="J67" s="22" t="str">
        <x:v>Smoke-Test-Template erstellen; nach jedem Build ausfüllen.</x:v>
      </x:c>
      <x:c r="K67" s="22" t="str">
        <x:v>Testtemplate schreiben.</x:v>
      </x:c>
      <x:c r="L67" s="22" t="str">
        <x:v>Build ohne Smoke-Test weitergeben.</x:v>
      </x:c>
      <x:c r="M67" s="22" t="str">
        <x:v>smoke-template.md existiert und wird genutzt.</x:v>
      </x:c>
      <x:c r="N67" s="22" t="str">
        <x:v>08_tests/smoke/template.md</x:v>
      </x:c>
      <x:c r="O67" s="23"/>
    </x:row>
    <x:row r="68" ht="48" customHeight="1">
      <x:c r="A68" s="40" t="n">
        <x:v>67</x:v>
      </x:c>
      <x:c r="B68" s="22" t="str">
        <x:v>09 QA, Regression &amp; Release</x:v>
      </x:c>
      <x:c r="C68" s="44" t="str">
        <x:v>09.02</x:v>
      </x:c>
      <x:c r="D68" s="22" t="str">
        <x:v>Regressionsseeds pflegen</x:v>
      </x:c>
      <x:c r="E68" s="22" t="str">
        <x:v>Bekannte Seeds/Settings dienen als wiederholbare Randomizer-Regressionstests.</x:v>
      </x:c>
      <x:c r="F68" s="44" t="str">
        <x:v>Noch offen</x:v>
      </x:c>
      <x:c r="G68" s="48" t="n">
        <x:v>0</x:v>
      </x:c>
      <x:c r="H68" s="44" t="str">
        <x:v>Du + Codex</x:v>
      </x:c>
      <x:c r="I68" s="44" t="str">
        <x:v>Mittel</x:v>
      </x:c>
      <x:c r="J68" s="22" t="str">
        <x:v>seed, settings, erwarteter Status, bekannte Einschränkungen speichern.</x:v>
      </x:c>
      <x:c r="K68" s="22" t="str">
        <x:v>Regressiondatei erstellen.</x:v>
      </x:c>
      <x:c r="L68" s="22" t="str">
        <x:v>Seeds nur im Chat merken.</x:v>
      </x:c>
      <x:c r="M68" s="22" t="str">
        <x:v>regression-seeds.md enthält erste 3 Kontrollfälle.</x:v>
      </x:c>
      <x:c r="N68" s="22" t="str">
        <x:v>08_tests/randomizer/regression-seeds.md</x:v>
      </x:c>
      <x:c r="O68" s="23"/>
    </x:row>
    <x:row r="69" ht="48" customHeight="1">
      <x:c r="A69" s="40" t="n">
        <x:v>68</x:v>
      </x:c>
      <x:c r="B69" s="22" t="str">
        <x:v>09 QA, Regression &amp; Release</x:v>
      </x:c>
      <x:c r="C69" s="44" t="str">
        <x:v>09.03</x:v>
      </x:c>
      <x:c r="D69" s="22" t="str">
        <x:v>Known Issues pflegen</x:v>
      </x:c>
      <x:c r="E69" s="22" t="str">
        <x:v>Alle nicht unterstützten Optionen, Workarounds und Bugs stehen in einem zentralen Dokument.</x:v>
      </x:c>
      <x:c r="F69" s="44" t="str">
        <x:v>Noch offen</x:v>
      </x:c>
      <x:c r="G69" s="48" t="n">
        <x:v>0</x:v>
      </x:c>
      <x:c r="H69" s="44" t="str">
        <x:v>Codex</x:v>
      </x:c>
      <x:c r="I69" s="44" t="str">
        <x:v>Klein</x:v>
      </x:c>
      <x:c r="J69" s="22" t="str">
        <x:v>Nach jedem Fehler 01_docs/known-issues.md aktualisieren.</x:v>
      </x:c>
      <x:c r="K69" s="22" t="str">
        <x:v>Known-Issues-Dokument pflegen.</x:v>
      </x:c>
      <x:c r="L69" s="22" t="str">
        <x:v>Fehler in Chatverlauf verstecken.</x:v>
      </x:c>
      <x:c r="M69" s="22" t="str">
        <x:v>known-issues.md ist aktuell und im README verlinkt.</x:v>
      </x:c>
      <x:c r="N69" s="22" t="str">
        <x:v>01_docs/known-issues.md</x:v>
      </x:c>
      <x:c r="O69" s="23"/>
    </x:row>
    <x:row r="70" ht="48" customHeight="1">
      <x:c r="A70" s="40" t="n">
        <x:v>69</x:v>
      </x:c>
      <x:c r="B70" s="22" t="str">
        <x:v>09 QA, Regression &amp; Release</x:v>
      </x:c>
      <x:c r="C70" s="44" t="str">
        <x:v>09.04</x:v>
      </x:c>
      <x:c r="D70" s="22" t="str">
        <x:v>Finale Ironmon-Kompatibilitätsmatrix</x:v>
      </x:c>
      <x:c r="E70" s="22" t="str">
        <x:v>Für gewünschtes Ironmon-Setup ist klar, welche Daten korrekt/unkorrekt/irrelevant sind.</x:v>
      </x:c>
      <x:c r="F70" s="44" t="str">
        <x:v>Noch offen</x:v>
      </x:c>
      <x:c r="G70" s="48" t="n">
        <x:v>0</x:v>
      </x:c>
      <x:c r="H70" s="44" t="str">
        <x:v>Du + Codex</x:v>
      </x:c>
      <x:c r="I70" s="44" t="str">
        <x:v>Mittel</x:v>
      </x:c>
      <x:c r="J70" s="22" t="str">
        <x:v>Matrix aus Test_Matrix + tracker-map.md zusammenführen.</x:v>
      </x:c>
      <x:c r="K70" s="22" t="str">
        <x:v>Matrix pflegen.</x:v>
      </x:c>
      <x:c r="L70" s="22" t="str">
        <x:v>Perfekte generische Hack-Unterstützung behaupten.</x:v>
      </x:c>
      <x:c r="M70" s="22" t="str">
        <x:v>final.md enthält Pass/Fail pro Funktion.</x:v>
      </x:c>
      <x:c r="N70" s="22" t="str">
        <x:v>08_tests/ironmon/final.md</x:v>
      </x:c>
      <x:c r="O70" s="23" t="str">
        <x:v>https://github.com/besteon/Ironmon-Tracker</x:v>
      </x:c>
    </x:row>
    <x:row r="71" ht="48" customHeight="1">
      <x:c r="A71" s="40" t="n">
        <x:v>70</x:v>
      </x:c>
      <x:c r="B71" s="22" t="str">
        <x:v>09 QA, Regression &amp; Release</x:v>
      </x:c>
      <x:c r="C71" s="44" t="str">
        <x:v>09.05</x:v>
      </x:c>
      <x:c r="D71" s="22" t="str">
        <x:v>Patch-Paket bauen</x:v>
      </x:c>
      <x:c r="E71" s="22" t="str">
        <x:v>Release-Paket enthält Patch, README, Credits, Known Issues, Tool-Versionen, aber keine ROM.</x:v>
      </x:c>
      <x:c r="F71" s="44" t="str">
        <x:v>Noch offen</x:v>
      </x:c>
      <x:c r="G71" s="48" t="n">
        <x:v>0</x:v>
      </x:c>
      <x:c r="H71" s="44" t="str">
        <x:v>Du</x:v>
      </x:c>
      <x:c r="I71" s="44" t="str">
        <x:v>Mittel</x:v>
      </x:c>
      <x:c r="J71" s="22" t="str">
        <x:v>Paket lokal bauen; Manifest/Hashes/README prüfen.</x:v>
      </x:c>
      <x:c r="K71" s="22" t="str">
        <x:v>Patch-Paket zusammenstellen.</x:v>
      </x:c>
      <x:c r="L71" s="22" t="str">
        <x:v>GBA-Datei beilegen.</x:v>
      </x:c>
      <x:c r="M71" s="22" t="str">
        <x:v>Release-Ordner enthält keine .gba/.sav/.state.</x:v>
      </x:c>
      <x:c r="N71" s="22" t="str">
        <x:v>09_release/</x:v>
      </x:c>
      <x:c r="O71" s="23" t="str">
        <x:v>https://github.com/Skeli789/Complete-Fire-Red-Upgrade</x:v>
      </x:c>
    </x:row>
    <x:row r="72" ht="48" customHeight="1">
      <x:c r="A72" s="41" t="n">
        <x:v>71</x:v>
      </x:c>
      <x:c r="B72" s="25" t="str">
        <x:v>09 QA, Regression &amp; Release</x:v>
      </x:c>
      <x:c r="C72" s="45" t="str">
        <x:v>09.06</x:v>
      </x:c>
      <x:c r="D72" s="25" t="str">
        <x:v>Milestone taggen und archivieren</x:v>
      </x:c>
      <x:c r="E72" s="25" t="str">
        <x:v>Git tag, Manifest, Checkliste, Logs und Patch-Version stimmen zusammen.</x:v>
      </x:c>
      <x:c r="F72" s="45" t="str">
        <x:v>Noch offen</x:v>
      </x:c>
      <x:c r="G72" s="49" t="n">
        <x:v>0</x:v>
      </x:c>
      <x:c r="H72" s="45" t="str">
        <x:v>Du</x:v>
      </x:c>
      <x:c r="I72" s="45" t="str">
        <x:v>Klein</x:v>
      </x:c>
      <x:c r="J72" s="25" t="str">
        <x:v>git tag nach erfolgreichem Repro-Test; Release Notes schreiben.</x:v>
      </x:c>
      <x:c r="K72" s="25" t="str">
        <x:v>Tag und Archivnotiz erstellen.</x:v>
      </x:c>
      <x:c r="L72" s="25" t="str">
        <x:v>Nachträglich still Commits ändern.</x:v>
      </x:c>
      <x:c r="M72" s="25" t="str">
        <x:v>Tag, Manifest und Excel-Status sind konsistent.</x:v>
      </x:c>
      <x:c r="N72" s="25" t="str">
        <x:v>git tag; release notes</x:v>
      </x:c>
      <x:c r="O72" s="26"/>
    </x:row>
    <x:row r="73" ht="48" customHeight="1"/>
    <x:row r="74" ht="48" customHeight="1"/>
    <x:row r="75" ht="48" customHeight="1"/>
    <x:row r="76" ht="48" customHeight="1"/>
    <x:row r="77" ht="48" customHeight="1"/>
    <x:row r="78" ht="48" customHeight="1"/>
    <x:row r="79" ht="48" customHeight="1"/>
    <x:row r="80" ht="48" customHeight="1"/>
    <x:row r="81" ht="48" customHeight="1"/>
    <x:row r="82" ht="48" customHeight="1"/>
    <x:row r="83" ht="48" customHeight="1"/>
    <x:row r="84" ht="48" customHeight="1"/>
    <x:row r="85" ht="48" customHeight="1"/>
    <x:row r="86" ht="48" customHeight="1"/>
    <x:row r="87" ht="48" customHeight="1"/>
    <x:row r="88" ht="48" customHeight="1"/>
    <x:row r="89" ht="48" customHeight="1"/>
    <x:row r="90" ht="48" customHeight="1"/>
    <x:row r="91" ht="48" customHeight="1"/>
    <x:row r="92" ht="48" customHeight="1"/>
    <x:row r="93" ht="48" customHeight="1"/>
    <x:row r="94" ht="48" customHeight="1"/>
    <x:row r="95" ht="48" customHeight="1"/>
    <x:row r="96" ht="48" customHeight="1"/>
    <x:row r="97" ht="48" customHeight="1"/>
    <x:row r="98" ht="48" customHeight="1"/>
    <x:row r="99" ht="48" customHeight="1"/>
    <x:row r="100" ht="48" customHeight="1"/>
    <x:row r="101" ht="48" customHeight="1"/>
    <x:row r="102" ht="48" customHeight="1"/>
    <x:row r="103" ht="48" customHeight="1"/>
    <x:row r="104" ht="48" customHeight="1"/>
    <x:row r="105" ht="48" customHeight="1"/>
    <x:row r="106" ht="48" customHeight="1"/>
    <x:row r="107" ht="48" customHeight="1"/>
    <x:row r="108" ht="48" customHeight="1"/>
    <x:row r="109" ht="48" customHeight="1"/>
    <x:row r="110" ht="48" customHeight="1"/>
    <x:row r="111" ht="48" customHeight="1"/>
    <x:row r="112" ht="48" customHeight="1"/>
    <x:row r="113" ht="48" customHeight="1"/>
    <x:row r="114" ht="48" customHeight="1"/>
    <x:row r="115" ht="48" customHeight="1"/>
    <x:row r="116" ht="48" customHeight="1"/>
    <x:row r="117" ht="48" customHeight="1"/>
    <x:row r="118" ht="48" customHeight="1"/>
    <x:row r="119" ht="48" customHeight="1"/>
    <x:row r="120" ht="48" customHeight="1"/>
    <x:row r="121" ht="48" customHeight="1"/>
    <x:row r="122" ht="48" customHeight="1"/>
    <x:row r="123" ht="48" customHeight="1"/>
    <x:row r="124" ht="48" customHeight="1"/>
    <x:row r="125" ht="48" customHeight="1"/>
    <x:row r="126" ht="48" customHeight="1"/>
    <x:row r="127" ht="48" customHeight="1"/>
    <x:row r="128" ht="48" customHeight="1"/>
    <x:row r="129" ht="48" customHeight="1"/>
    <x:row r="130" ht="48" customHeight="1"/>
    <x:row r="131" ht="48" customHeight="1"/>
    <x:row r="132" ht="48" customHeight="1"/>
    <x:row r="133" ht="48" customHeight="1"/>
    <x:row r="134" ht="48" customHeight="1"/>
    <x:row r="135" ht="48" customHeight="1"/>
    <x:row r="136" ht="48" customHeight="1"/>
    <x:row r="137" ht="48" customHeight="1"/>
    <x:row r="138" ht="48" customHeight="1"/>
    <x:row r="139" ht="48" customHeight="1"/>
    <x:row r="140" ht="48" customHeight="1"/>
    <x:row r="141" ht="48" customHeight="1"/>
    <x:row r="142" ht="48" customHeight="1"/>
    <x:row r="143" ht="48" customHeight="1"/>
    <x:row r="144" ht="48" customHeight="1"/>
    <x:row r="145" ht="48" customHeight="1"/>
    <x:row r="146" ht="48" customHeight="1"/>
    <x:row r="147" ht="48" customHeight="1"/>
    <x:row r="148" ht="48" customHeight="1"/>
    <x:row r="149" ht="48" customHeight="1"/>
    <x:row r="150" ht="48" customHeight="1"/>
    <x:row r="151" ht="48" customHeight="1"/>
    <x:row r="152" ht="48" customHeight="1"/>
    <x:row r="153" ht="48" customHeight="1"/>
    <x:row r="154" ht="48" customHeight="1"/>
    <x:row r="155" ht="48" customHeight="1"/>
    <x:row r="156" ht="48" customHeight="1"/>
    <x:row r="157" ht="48" customHeight="1"/>
    <x:row r="158" ht="48" customHeight="1"/>
    <x:row r="159" ht="48" customHeight="1"/>
    <x:row r="160" ht="48" customHeight="1"/>
    <x:row r="161" ht="48" customHeight="1"/>
    <x:row r="162" ht="48" customHeight="1"/>
    <x:row r="163" ht="48" customHeight="1"/>
    <x:row r="164" ht="48" customHeight="1"/>
    <x:row r="165" ht="48" customHeight="1"/>
    <x:row r="166" ht="48" customHeight="1"/>
    <x:row r="167" ht="48" customHeight="1"/>
    <x:row r="168" ht="48" customHeight="1"/>
    <x:row r="169" ht="48" customHeight="1"/>
    <x:row r="170" ht="48" customHeight="1"/>
    <x:row r="171" ht="48" customHeight="1"/>
    <x:row r="172" ht="48" customHeight="1"/>
    <x:row r="173" ht="48" customHeight="1"/>
    <x:row r="174" ht="48" customHeight="1"/>
    <x:row r="175" ht="48" customHeight="1"/>
    <x:row r="176" ht="48" customHeight="1"/>
    <x:row r="177" ht="48" customHeight="1"/>
    <x:row r="178" ht="48" customHeight="1"/>
    <x:row r="179" ht="48" customHeight="1"/>
    <x:row r="180" ht="48" customHeight="1"/>
    <x:row r="181" ht="48" customHeight="1"/>
    <x:row r="182" ht="48" customHeight="1"/>
    <x:row r="183" ht="48" customHeight="1"/>
    <x:row r="184" ht="48" customHeight="1"/>
    <x:row r="185" ht="48" customHeight="1"/>
    <x:row r="186" ht="48" customHeight="1"/>
    <x:row r="187" ht="48" customHeight="1"/>
    <x:row r="188" ht="48" customHeight="1"/>
    <x:row r="189" ht="48" customHeight="1"/>
    <x:row r="190" ht="48" customHeight="1"/>
    <x:row r="191" ht="48" customHeight="1"/>
    <x:row r="192" ht="48" customHeight="1"/>
    <x:row r="193" ht="48" customHeight="1"/>
    <x:row r="194" ht="48" customHeight="1"/>
    <x:row r="195" ht="48" customHeight="1"/>
    <x:row r="196" ht="48" customHeight="1"/>
    <x:row r="197" ht="48" customHeight="1"/>
    <x:row r="198" ht="48" customHeight="1"/>
    <x:row r="199" ht="48" customHeight="1"/>
    <x:row r="200" ht="48" customHeight="1"/>
  </x:sheetData>
  <x:conditionalFormatting sqref="G2:G72">
    <x:cfRule type="dataBar" priority="1">
      <x:dataBar>
        <x:cfvo type="min"/>
        <x:cfvo type="max"/>
        <x:color rgb="2563EB"/>
      </x:dataBar>
      <x:extLst>
        <x:ext xmlns:x14="http://schemas.microsoft.com/office/spreadsheetml/2009/9/main" uri="{B025F937-C7B1-47D3-B67F-A62EFF666E3E}">
          <x14:id>{006D1EBD-5C74-BAB9-0F6A-9DD6DD49869C}</x14:id>
        </x:ext>
      </x:extLst>
    </x:cfRule>
  </x:conditionalFormatting>
  <x:conditionalFormatting sqref="F2:F72">
    <x:cfRule type="expression" dxfId="0" priority="2">
      <x:formula>F2="Noch offen"</x:formula>
    </x:cfRule>
    <x:cfRule type="expression" dxfId="1" priority="3">
      <x:formula>F2="Als Nächstes"</x:formula>
    </x:cfRule>
    <x:cfRule type="expression" dxfId="2" priority="4">
      <x:formula>F2="In Arbeit"</x:formula>
    </x:cfRule>
    <x:cfRule type="expression" dxfId="3" priority="5">
      <x:formula>F2="Review/Test"</x:formula>
    </x:cfRule>
    <x:cfRule type="expression" dxfId="4" priority="6">
      <x:formula>F2="Warten/Blockiert"</x:formula>
    </x:cfRule>
    <x:cfRule type="expression" dxfId="5" priority="7">
      <x:formula>F2="Erledigt"</x:formula>
    </x:cfRule>
  </x:conditionalFormatting>
  <x:dataValidations count="3">
    <x:dataValidation type="list" sqref="F2:F72">
      <x:formula1>"Noch offen,Als Nächstes,In Arbeit,Review/Test,Warten/Blockiert,Erledigt"</x:formula1>
    </x:dataValidation>
    <x:dataValidation type="list" sqref="H2:H72">
      <x:formula1>"Du,ChatGPT,Codex,Du + ChatGPT,Du + Codex,ChatGPT + Codex,Alle"</x:formula1>
    </x:dataValidation>
    <x:dataValidation type="list" sqref="I2:I72">
      <x:formula1>"Sehr klein,Klein,Mittel,Groß"</x:formula1>
    </x:dataValidation>
  </x:dataValidations>
  <x:pageMargins left="0.7" right="0.7" top="0.75" bottom="0.75" header="0.3" footer="0.3"/>
  <x:tableParts count="1">
    <x:tablePart xmlns:r="http://schemas.openxmlformats.org/officeDocument/2006/relationships" r:id="Rf32b40f945484856"/>
  </x:tableParts>
  <x:extLst>
    <x:ext xmlns:x14="http://schemas.microsoft.com/office/spreadsheetml/2009/9/main" xmlns:xm="http://schemas.microsoft.com/office/excel/2006/main" uri="{78C0D931-6437-407d-A8EE-F0AAD7539E65}">
      <x14:conditionalFormattings>
        <x14:conditionalFormatting>
          <x14:cfRule type="dataBar" priority="1" id="{006D1EBD-5C74-BAB9-0F6A-9DD6DD49869C}">
            <x14:dataBar gradient="1">
              <x14:cfvo type="min"/>
              <x14:cfvo type="max"/>
              <x14:fillColor rgb="2563EB"/>
            </x14:dataBar>
          </x14:cfRule>
          <xm:sqref>G2:G72</xm:sqref>
        </x14:conditionalFormatting>
      </x14:conditionalFormattings>
    </x:ext>
  </x:extLst>
</x:worksheet>
</file>

<file path=xl/worksheets/sheet2.xml><?xml version="1.0" encoding="utf-8"?>
<x:worksheet xmlns:x="http://schemas.openxmlformats.org/spreadsheetml/2006/main">
  <x:sheetFormatPr defaultRowHeight="15"/>
  <x:cols>
    <x:col min="1" max="1" width="34" hidden="0" customWidth="1"/>
    <x:col min="2" max="2" width="20" hidden="0" customWidth="1"/>
    <x:col min="3" max="3" width="48" hidden="0" customWidth="1"/>
  </x:cols>
  <x:sheetData>
    <x:row r="1" ht="28" customHeight="1">
      <x:c r="A1" s="62" t="str">
        <x:v>Dashboard</x:v>
      </x:c>
      <x:c r="B1" s="63" t="str">
        <x:v>Wert</x:v>
      </x:c>
      <x:c r="C1" s="64" t="str">
        <x:v>Hinweis</x:v>
      </x:c>
    </x:row>
    <x:row r="2">
      <x:c r="A2" s="21" t="str">
        <x:v>Gesamtaufgaben</x:v>
      </x:c>
      <x:c r="B2" s="44" t="n">
        <x:f>COUNTA(Roadmap_Checkliste!A2:A72)</x:f>
        <x:v>71</x:v>
      </x:c>
      <x:c r="C2" s="23" t="str">
        <x:v>Alle Roadmap-Zeilen</x:v>
      </x:c>
    </x:row>
    <x:row r="3">
      <x:c r="A3" s="21" t="str">
        <x:v>Erledigt</x:v>
      </x:c>
      <x:c r="B3" s="44" t="n">
        <x:v>10</x:v>
      </x:c>
      <x:c r="C3" s="23" t="str">
        <x:v>Status</x:v>
      </x:c>
    </x:row>
    <x:row r="4">
      <x:c r="A4" s="21" t="str">
        <x:v>In Arbeit</x:v>
      </x:c>
      <x:c r="B4" s="44" t="n">
        <x:v>0</x:v>
      </x:c>
      <x:c r="C4" s="23" t="str">
        <x:v>Status</x:v>
      </x:c>
    </x:row>
    <x:row r="5">
      <x:c r="A5" s="21" t="str">
        <x:v>Als Nächstes</x:v>
      </x:c>
      <x:c r="B5" s="44" t="n">
        <x:v>1</x:v>
      </x:c>
      <x:c r="C5" s="23" t="str">
        <x:v>Status</x:v>
      </x:c>
    </x:row>
    <x:row r="6">
      <x:c r="A6" s="21" t="str">
        <x:v>Review/Test</x:v>
      </x:c>
      <x:c r="B6" s="44" t="n">
        <x:v>2</x:v>
      </x:c>
      <x:c r="C6" s="23" t="str">
        <x:v>Status</x:v>
      </x:c>
    </x:row>
    <x:row r="7">
      <x:c r="A7" s="21" t="str">
        <x:v>Warten/Blockiert</x:v>
      </x:c>
      <x:c r="B7" s="44" t="n">
        <x:v>0</x:v>
      </x:c>
      <x:c r="C7" s="23" t="str">
        <x:v>Status</x:v>
      </x:c>
    </x:row>
    <x:row r="8">
      <x:c r="A8" s="21" t="str">
        <x:v>Noch offen</x:v>
      </x:c>
      <x:c r="B8" s="68" t="n">
        <x:v>58</x:v>
      </x:c>
      <x:c r="C8" s="23" t="str">
        <x:v>Status</x:v>
      </x:c>
    </x:row>
    <x:row r="9">
      <x:c r="A9" s="21" t="str">
        <x:v>Durchschnitt Fortschritt</x:v>
      </x:c>
      <x:c r="B9" s="44" t="n">
        <x:v>16.3</x:v>
      </x:c>
      <x:c r="C9" s="23" t="str">
        <x:v>0–100</x:v>
      </x:c>
    </x:row>
    <x:row r="10">
      <x:c r="A10" s="21" t="str">
        <x:v>Nächster Fokus</x:v>
      </x:c>
      <x:c r="B10" s="22" t="str">
        <x:v>01.08 / setup-repo-governance</x:v>
      </x:c>
      <x:c r="C10" s="23" t="str">
        <x:v>Git-/Fork-/Codex-Workflow + Bootstrap/Safety-Scripts</x:v>
      </x:c>
    </x:row>
    <x:row r="11">
      <x:c r="A11" s="21" t="str">
        <x:v>Excel-Version</x:v>
      </x:c>
      <x:c r="B11" s="22" t="str">
        <x:v>v3.4_setup_status</x:v>
      </x:c>
      <x:c r="C11" s="23" t="str">
        <x:v>2026-05-10</x:v>
      </x:c>
    </x:row>
    <x:row r="12">
      <x:c r="A12" s="21"/>
      <x:c r="B12" s="22"/>
      <x:c r="C12" s="23"/>
    </x:row>
    <x:row r="13">
      <x:c r="A13" s="21" t="str">
        <x:v>Paket</x:v>
      </x:c>
      <x:c r="B13" s="22" t="str">
        <x:v>Aufgaben</x:v>
      </x:c>
      <x:c r="C13" s="23" t="str">
        <x:v>Empfohlener Zustand vor Weitergehen</x:v>
      </x:c>
    </x:row>
    <x:row r="14">
      <x:c r="A14" s="21" t="str">
        <x:v>01 Projektmodus &amp; Agent-Governance</x:v>
      </x:c>
      <x:c r="B14" s="22" t="n">
        <x:f>COUNTIF(Roadmap_Checkliste!B2:B72,"01 Projektmodus &amp; Agent-Governance")</x:f>
        <x:v>9</x:v>
      </x:c>
      <x:c r="C14" s="23" t="str">
        <x:v>Alle vorherigen Pakete geprüft</x:v>
      </x:c>
    </x:row>
    <x:row r="15">
      <x:c r="A15" s="21" t="str">
        <x:v>02 Terminal-Workspace aufbauen</x:v>
      </x:c>
      <x:c r="B15" s="22" t="n">
        <x:f>COUNTIF(Roadmap_Checkliste!B2:B72,"02 Terminal-Workspace aufbauen")</x:f>
        <x:v>7</x:v>
      </x:c>
      <x:c r="C15" s="23" t="str">
        <x:v>Alle vorherigen Pakete geprüft</x:v>
      </x:c>
    </x:row>
    <x:row r="16">
      <x:c r="A16" s="21" t="str">
        <x:v>03 Legal &amp; Base-ROM</x:v>
      </x:c>
      <x:c r="B16" s="22" t="n">
        <x:f>COUNTIF(Roadmap_Checkliste!B2:B72,"03 Legal &amp; Base-ROM")</x:f>
        <x:v>4</x:v>
      </x:c>
      <x:c r="C16" s="23" t="str">
        <x:v>Alle vorherigen Pakete geprüft</x:v>
      </x:c>
    </x:row>
    <x:row r="17">
      <x:c r="A17" s="21" t="str">
        <x:v>04 Komponenten &amp; Quellen pinnen</x:v>
      </x:c>
      <x:c r="B17" s="22" t="n">
        <x:f>COUNTIF(Roadmap_Checkliste!B2:B72,"04 Komponenten &amp; Quellen pinnen")</x:f>
        <x:v>10</x:v>
      </x:c>
      <x:c r="C17" s="23" t="str">
        <x:v>Alle vorherigen Pakete geprüft</x:v>
      </x:c>
    </x:row>
    <x:row r="18">
      <x:c r="A18" s="21" t="str">
        <x:v>05 Doku &amp; Referenzanalyse</x:v>
      </x:c>
      <x:c r="B18" s="22" t="n">
        <x:f>COUNTIF(Roadmap_Checkliste!B2:B72,"05 Doku &amp; Referenzanalyse")</x:f>
        <x:v>8</x:v>
      </x:c>
      <x:c r="C18" s="23" t="str">
        <x:v>Alle vorherigen Pakete geprüft</x:v>
      </x:c>
    </x:row>
    <x:row r="19">
      <x:c r="A19" s="21" t="str">
        <x:v>06 Baseline Build &amp; Smoke</x:v>
      </x:c>
      <x:c r="B19" s="22" t="n">
        <x:f>COUNTIF(Roadmap_Checkliste!B2:B72,"06 Baseline Build &amp; Smoke")</x:f>
        <x:v>8</x:v>
      </x:c>
      <x:c r="C19" s="23" t="str">
        <x:v>Alle vorherigen Pakete geprüft</x:v>
      </x:c>
    </x:row>
    <x:row r="20">
      <x:c r="A20" s="21" t="str">
        <x:v>07 Randomizer-Kompatibilität</x:v>
      </x:c>
      <x:c r="B20" s="22" t="n">
        <x:f>COUNTIF(Roadmap_Checkliste!B2:B72,"07 Randomizer-Kompatibilität")</x:f>
        <x:v>13</x:v>
      </x:c>
      <x:c r="C20" s="23" t="str">
        <x:v>Alle vorherigen Pakete geprüft</x:v>
      </x:c>
    </x:row>
    <x:row r="21">
      <x:c r="A21" s="21" t="str">
        <x:v>08 BizHawk &amp; Ironmon</x:v>
      </x:c>
      <x:c r="B21" s="22" t="n">
        <x:f>COUNTIF(Roadmap_Checkliste!B2:B72,"08 BizHawk &amp; Ironmon")</x:f>
        <x:v>6</x:v>
      </x:c>
      <x:c r="C21" s="23" t="str">
        <x:v>Alle vorherigen Pakete geprüft</x:v>
      </x:c>
    </x:row>
    <x:row r="22">
      <x:c r="A22" s="24" t="str">
        <x:v>09 QA, Regression &amp; Release</x:v>
      </x:c>
      <x:c r="B22" s="25" t="n">
        <x:f>COUNTIF(Roadmap_Checkliste!B2:B72,"09 QA, Regression &amp; Release")</x:f>
        <x:v>6</x:v>
      </x:c>
      <x:c r="C22" s="26" t="str">
        <x:v>Alle vorherigen Pakete geprüft</x:v>
      </x:c>
    </x:row>
    <x:row r="24">
      <x:c r="A24" s="208" t="str">
        <x:v>v3.3 Hinweis</x:v>
      </x:c>
      <x:c r="B24" s="208" t="str">
        <x:v>Reproduzierbarkeit ergänzt</x:v>
      </x:c>
      <x:c r="C24" s="208" t="str">
        <x:v>GitHub-Meta-Repo + Markdown-Handoff sollen ab jetzt Source of Truth sein.</x:v>
      </x:c>
    </x:row>
  </x:sheetData>
  <x:pageMargins left="0.7" right="0.7" top="0.75" bottom="0.75" header="0.3" footer="0.3"/>
  <x:tableParts count="1">
    <x:tablePart xmlns:r="http://schemas.openxmlformats.org/officeDocument/2006/relationships" r:id="R0331913800a84f9c"/>
  </x:tableParts>
</x:worksheet>
</file>

<file path=xl/worksheets/sheet3.xml><?xml version="1.0" encoding="utf-8"?>
<x:worksheet xmlns:x="http://schemas.openxmlformats.org/spreadsheetml/2006/main">
  <x:sheetFormatPr defaultRowHeight="15"/>
  <x:cols>
    <x:col min="1" max="1" width="28" hidden="0" customWidth="1"/>
    <x:col min="2" max="2" width="34" hidden="0" customWidth="1"/>
    <x:col min="3" max="3" width="48" hidden="0" customWidth="1"/>
    <x:col min="4" max="4" width="46" hidden="0" customWidth="1"/>
  </x:cols>
  <x:sheetData>
    <x:row r="1" ht="24" customHeight="1">
      <x:c r="A1" s="18" t="str">
        <x:v>Prüfpunkt</x:v>
      </x:c>
      <x:c r="B1" s="19" t="str">
        <x:v>Bewertung</x:v>
      </x:c>
      <x:c r="C1" s="19" t="str">
        <x:v>Änderung in v3</x:v>
      </x:c>
      <x:c r="D1" s="20" t="str">
        <x:v>Warum wichtig</x:v>
      </x:c>
    </x:row>
    <x:row r="2">
      <x:c r="A2" s="21" t="str">
        <x:v>Sinnvolle Reihenfolge</x:v>
      </x:c>
      <x:c r="B2" s="22" t="str">
        <x:v>Ja, aber ChatGPT/Codex/Terminal musste stärker nach vorn.</x:v>
      </x:c>
      <x:c r="C2" s="22" t="str">
        <x:v>Paket 01 und 02 sind jetzt vollständig auf Projektmodus, AGENTS.md, Handoff und Terminal-Workspace ausgerichtet.</x:v>
      </x:c>
      <x:c r="D2" s="23" t="str">
        <x:v>Der nächste Chat soll ohne alten Verlauf starten können.</x:v>
      </x:c>
    </x:row>
    <x:row r="3">
      <x:c r="A3" s="21" t="str">
        <x:v>Kleinschrittigkeit</x:v>
      </x:c>
      <x:c r="B3" s="22" t="str">
        <x:v>Teilweise zu grob bei Randomizer und Ironmon.</x:v>
      </x:c>
      <x:c r="C3" s="22" t="str">
        <x:v>Randomizer-Tests wurden in Species/Counts, Wild, Trainer, Moves/Abilities/Items, Evolutions/Forms, Reproduzierbarkeit zerlegt.</x:v>
      </x:c>
      <x:c r="D3" s="23" t="str">
        <x:v>Jeder Codex-Task muss reviewbar und testbar bleiben.</x:v>
      </x:c>
    </x:row>
    <x:row r="4">
      <x:c r="A4" s="21" t="str">
        <x:v>Workflow mit dir + ChatGPT + Codex</x:v>
      </x:c>
      <x:c r="B4" s="22" t="str">
        <x:v>Grundidee gut; neue Session-Handoff-Pflicht fehlte.</x:v>
      </x:c>
      <x:c r="C4" s="22" t="str">
        <x:v>PROJECT_BRIEF.md, SESSION_STATE.md, NEXT_STEPS.md, DECISIONS_INDEX.md ergänzt.</x:v>
      </x:c>
      <x:c r="D4" s="23" t="str">
        <x:v>Neue Sessions verstehen Kontext ohne Chatverlauf.</x:v>
      </x:c>
    </x:row>
    <x:row r="5">
      <x:c r="A5" s="21" t="str">
        <x:v>Terminal-first</x:v>
      </x:c>
      <x:c r="B5" s="22" t="str">
        <x:v>Vorher nur implizit.</x:v>
      </x:c>
      <x:c r="C5" s="22" t="str">
        <x:v>Terminal_Setup-Sheet ergänzt; Roadmap enthält Terminal-Hinweise.</x:v>
      </x:c>
      <x:c r="D5" s="23" t="str">
        <x:v>Du kannst Befehle prüfen und schrittweise ausführen.</x:v>
      </x:c>
    </x:row>
    <x:row r="6">
      <x:c r="A6" s="21" t="str">
        <x:v>Dokumentation</x:v>
      </x:c>
      <x:c r="B6" s="22" t="str">
        <x:v>Schon solide, aber Handoff und Quellenindex fehlten.</x:v>
      </x:c>
      <x:c r="C6" s="22" t="str">
        <x:v>Docs_Handoff, Quellen und source-index-Aufgaben ergänzt.</x:v>
      </x:c>
      <x:c r="D6" s="23" t="str">
        <x:v>Großes Projekt benötigt persistente Kontextdateien.</x:v>
      </x:c>
    </x:row>
    <x:row r="7">
      <x:c r="A7" s="21" t="str">
        <x:v>Referenzen</x:v>
      </x:c>
      <x:c r="B7" s="22" t="str">
        <x:v>Kernquellen waren vorhanden.</x:v>
      </x:c>
      <x:c r="C7" s="22" t="str">
        <x:v>pret/pokefirered und pokeemerald-expansion als optionale Referenz ergänzt; CyanSMP64 bleibt konkrete Kompatibilitätsreferenz.</x:v>
      </x:c>
      <x:c r="D7" s="23" t="str">
        <x:v>Zusätzliche Projekte dienen nur als Vergleich, nicht als Basiswechsel.</x:v>
      </x:c>
    </x:row>
    <x:row r="8">
      <x:c r="A8" s="24" t="str">
        <x:v>Codex-Sicherheit</x:v>
      </x:c>
      <x:c r="B8" s="25" t="str">
        <x:v>Gut, aber noch präziser nötig.</x:v>
      </x:c>
      <x:c r="C8" s="25" t="str">
        <x:v>AGENTS.md, .codex/config.toml, Dry-Run, PR-Template und CI-ohne-ROM vorgezogen.</x:v>
      </x:c>
      <x:c r="D8" s="26" t="str">
        <x:v>Agenten sollen keine ROMs/Binaries/privaten Pfade anfassen.</x:v>
      </x:c>
    </x:row>
    <x:row r="9">
      <x:c r="A9" s="14" t="str">
        <x:v>Reproduzierbarkeit</x:v>
      </x:c>
      <x:c r="B9" s="14" t="str">
        <x:v>Vorher nicht ausreichend</x:v>
      </x:c>
      <x:c r="C9" s="14" t="str">
        <x:v>Für anderen Rechner fehlten explizite Clone-/Bootstrap-/Manifest-Regeln.</x:v>
      </x:c>
      <x:c r="D9" s="14" t="str">
        <x:v>Repro_Workflow, Git_Source_of_Truth, Bootstrap_Terminal ergänzt.</x:v>
      </x:c>
    </x:row>
    <x:row r="10">
      <x:c r="A10" s="14" t="str">
        <x:v>GitHub als aktueller Stand</x:v>
      </x:c>
      <x:c r="B10" s="14" t="str">
        <x:v>Vorher indirekt</x:v>
      </x:c>
      <x:c r="C10" s="14" t="str">
        <x:v>Excel allein ist nicht ideal; Browserchat und Codex brauchen gemeinsame Quelle.</x:v>
      </x:c>
      <x:c r="D10" s="14" t="str">
        <x:v>Privates Meta-Repo + Markdown-Handoff als Source of Truth festgelegt.</x:v>
      </x:c>
    </x:row>
    <x:row r="11">
      <x:c r="A11" s="14" t="str">
        <x:v>Externes Repo Handling</x:v>
      </x:c>
      <x:c r="B11" s="14" t="str">
        <x:v>Teilweise offen</x:v>
      </x:c>
      <x:c r="C11" s="14" t="str">
        <x:v>Submodule vs Bootstrap war nicht entschieden.</x:v>
      </x:c>
      <x:c r="D11" s="14" t="str">
        <x:v>Repo_Publication_Model ergänzt; Empfehlung: Start mit Bootstrap + Manifest, später Submodule prüfen.</x:v>
      </x:c>
    </x:row>
    <x:row r="12">
      <x:c r="A12" s="14" t="str">
        <x:v>Neue Sessionfähigkeit</x:v>
      </x:c>
      <x:c r="B12" s="14" t="str">
        <x:v>Verbessert, aber weiter zu pflegen</x:v>
      </x:c>
      <x:c r="C12" s="14" t="str">
        <x:v>Neue Sessions müssen aktuelle Handoff-Dateien sehen.</x:v>
      </x:c>
      <x:c r="D12" s="14" t="str">
        <x:v>AGENTS.md, PROJECT_BRIEF, SESSION_STATE, NEXT_STEPS bleiben Pflichtdateien.</x:v>
      </x:c>
    </x:row>
  </x:sheetData>
  <x:pageMargins left="0.7" right="0.7" top="0.75" bottom="0.75" header="0.3" footer="0.3"/>
  <x:tableParts count="1">
    <x:tablePart xmlns:r="http://schemas.openxmlformats.org/officeDocument/2006/relationships" r:id="R40f4ab9cee05419d"/>
  </x:tableParts>
</x:worksheet>
</file>

<file path=xl/worksheets/sheet4.xml><?xml version="1.0" encoding="utf-8"?>
<x:worksheet xmlns:x="http://schemas.openxmlformats.org/spreadsheetml/2006/main">
  <x:sheetFormatPr defaultRowHeight="15"/>
  <x:cols>
    <x:col min="1" max="1" width="22" hidden="0" customWidth="1"/>
    <x:col min="2" max="2" width="18" hidden="0" customWidth="1"/>
    <x:col min="3" max="3" width="78" hidden="0" customWidth="1"/>
    <x:col min="4" max="4" width="34" hidden="0" customWidth="1"/>
    <x:col min="5" max="5" width="38" hidden="0" customWidth="1"/>
  </x:cols>
  <x:sheetData>
    <x:row r="1" ht="24" customHeight="1">
      <x:c r="A1" s="80" t="str">
        <x:v>Schritt</x:v>
      </x:c>
      <x:c r="B1" s="81" t="str">
        <x:v>Shell</x:v>
      </x:c>
      <x:c r="C1" s="81" t="str">
        <x:v>Befehl / Vorlage</x:v>
      </x:c>
      <x:c r="D1" s="81" t="str">
        <x:v>Zweck</x:v>
      </x:c>
      <x:c r="E1" s="82" t="str">
        <x:v>Wichtig</x:v>
      </x:c>
    </x:row>
    <x:row r="2" ht="86" customHeight="1">
      <x:c r="A2" s="21" t="str">
        <x:v>Workspace Root</x:v>
      </x:c>
      <x:c r="B2" s="22" t="str">
        <x:v>Git Bash</x:v>
      </x:c>
      <x:c r="C2" s="22" t="str">
        <x:v>mkdir -p ~/romhacking/fr-rando-gen9 &amp;&amp; cd ~/romhacking/fr-rando-gen9</x:v>
      </x:c>
      <x:c r="D2" s="22" t="str">
        <x:v>Root anlegen und betreten.</x:v>
      </x:c>
      <x:c r="E2" s="23" t="str">
        <x:v>JetBrains/Codex immer diesen Root öffnen.</x:v>
      </x:c>
    </x:row>
    <x:row r="3" ht="86" customHeight="1">
      <x:c r="A3" s="21" t="str">
        <x:v>Git Init</x:v>
      </x:c>
      <x:c r="B3" s="22" t="str">
        <x:v>Git Bash</x:v>
      </x:c>
      <x:c r="C3" s="22" t="str">
        <x:v>git init &amp;&amp; git checkout -b setup/initial-workspace</x:v>
      </x:c>
      <x:c r="D3" s="22" t="str">
        <x:v>Eigenes Projekt-Repo starten.</x:v>
      </x:c>
      <x:c r="E3" s="23" t="str">
        <x:v>Noch keine Vendor-Repos oder ROMs committen.</x:v>
      </x:c>
    </x:row>
    <x:row r="4" ht="86" customHeight="1">
      <x:c r="A4" s="21" t="str">
        <x:v>Basisordner</x:v>
      </x:c>
      <x:c r="B4" s="22" t="str">
        <x:v>Git Bash</x:v>
      </x:c>
      <x:c r="C4" s="22" t="str">
        <x:v>mkdir -p 00_project-control 01_docs/{references,decisions,setup,randomizer,ironmon} 02_external 03_tools/releases 04_private_roms 05_builds 06_patches 07_scripts/build 08_tests/{setup,build,hma,randomizer,ironmon,smoke,release}</x:v>
      </x:c>
      <x:c r="D4" s="22" t="str">
        <x:v>Nummerierte Struktur anlegen.</x:v>
      </x:c>
      <x:c r="E4" s="23" t="str">
        <x:v>04_private_roms und 05_builds bleiben ignoriert.</x:v>
      </x:c>
    </x:row>
    <x:row r="5" ht="86" customHeight="1">
      <x:c r="A5" s="21" t="str">
        <x:v>.gitignore</x:v>
      </x:c>
      <x:c r="B5" s="22" t="str">
        <x:v>Git Bash</x:v>
      </x:c>
      <x:c r="C5" s="22" t="str">
        <x:v>cat &gt; .gitignore &lt;&lt;'EOF'
*.gba
*.gb
*.gbc
*.sav
*.srm
*.state
*.ss0
*.ss1
*.zip
*.7z
*.exe
04_private_roms/
05_builds/
03_tools/releases/
EOF</x:v>
      </x:c>
      <x:c r="D5" s="22" t="str">
        <x:v>ROMs, Saves, Builds und Tool-Releases schützen.</x:v>
      </x:c>
      <x:c r="E5" s="23" t="str">
        <x:v>Danach mit Testdateien git status prüfen.</x:v>
      </x:c>
    </x:row>
    <x:row r="6" ht="86" customHeight="1">
      <x:c r="A6" s="21" t="str">
        <x:v>Erste Docs</x:v>
      </x:c>
      <x:c r="B6" s="22" t="str">
        <x:v>Git Bash</x:v>
      </x:c>
      <x:c r="C6" s="22" t="str">
        <x:v>mkdir -p .codex .github 01_docs/{setup,decisions,references,randomizer,ironmon}
touch README.md AGENTS.md .codex/config.toml
touch 01_docs/PROJECT_BRIEF.md 01_docs/SESSION_STATE.md 01_docs/NEXT_STEPS.md 01_docs/DECISIONS_INDEX.md</x:v>
      </x:c>
      <x:c r="D6" s="22" t="str">
        <x:v>Grunddateien vorbereiten.</x:v>
      </x:c>
      <x:c r="E6" s="23" t="str">
        <x:v>Diese Dateien sind der Startkontext für neue ChatGPT-/Codex-Sessions.</x:v>
      </x:c>
    </x:row>
    <x:row r="7" ht="86" customHeight="1">
      <x:c r="A7" s="21" t="str">
        <x:v>Clone Shiny CFRU</x:v>
      </x:c>
      <x:c r="B7" s="22" t="str">
        <x:v>Git Bash</x:v>
      </x:c>
      <x:c r="C7" s="22" t="str">
        <x:v>git clone https://github.com/Shiny-Miner/CFRU-expansion 02_external/cfru-gen9
(cd 02_external/cfru-gen9 &amp;&amp; git rev-parse HEAD)</x:v>
      </x:c>
      <x:c r="D7" s="22" t="str">
        <x:v>Primären CFRU-Gen9-Kandidaten pinnen.</x:v>
      </x:c>
      <x:c r="E7" s="23" t="str">
        <x:v>Commit-Hash ins tool-manifest eintragen.</x:v>
      </x:c>
    </x:row>
    <x:row r="8" ht="86" customHeight="1">
      <x:c r="A8" s="21" t="str">
        <x:v>Clone Shiny DPE</x:v>
      </x:c>
      <x:c r="B8" s="22" t="str">
        <x:v>Git Bash</x:v>
      </x:c>
      <x:c r="C8" s="22" t="str">
        <x:v>git clone https://github.com/Shiny-Miner/Dynamic-Pokemon-Expansion-Gen-9 02_external/dpe-gen9
(cd 02_external/dpe-gen9 &amp;&amp; git rev-parse HEAD)</x:v>
      </x:c>
      <x:c r="D8" s="22" t="str">
        <x:v>Gepaarten DPE-Gen9-Kandidaten pinnen.</x:v>
      </x:c>
      <x:c r="E8" s="23" t="str">
        <x:v>Commit-Hash ins tool-manifest eintragen.</x:v>
      </x:c>
    </x:row>
    <x:row r="9" ht="86" customHeight="1">
      <x:c r="A9" s="21" t="str">
        <x:v>Clone FVX</x:v>
      </x:c>
      <x:c r="B9" s="22" t="str">
        <x:v>Git Bash</x:v>
      </x:c>
      <x:c r="C9" s="22" t="str">
        <x:v>git clone https://github.com/upr-fvx/universal-pokemon-randomizer-fvx 02_external/upr-fvx
(cd 02_external/upr-fvx &amp;&amp; git rev-parse HEAD)</x:v>
      </x:c>
      <x:c r="D9" s="22" t="str">
        <x:v>Randomizer-Source pinnen.</x:v>
      </x:c>
      <x:c r="E9" s="23" t="str">
        <x:v>Release separat in 03_tools/releases dokumentieren.</x:v>
      </x:c>
    </x:row>
    <x:row r="10" ht="86" customHeight="1">
      <x:c r="A10" s="21" t="str">
        <x:v>FVX Release</x:v>
      </x:c>
      <x:c r="B10" s="22" t="str">
        <x:v>Git Bash mit gh</x:v>
      </x:c>
      <x:c r="C10" s="22" t="str">
        <x:v>gh release download -R upr-fvx/universal-pokemon-randomizer-fvx --dir 03_tools/releases</x:v>
      </x:c>
      <x:c r="D10" s="22" t="str">
        <x:v>Aktuelles Release herunterladen.</x:v>
      </x:c>
      <x:c r="E10" s="23" t="str">
        <x:v>Asset-Auswahl prüfen; ZIP/JAR nicht ins Git.</x:v>
      </x:c>
    </x:row>
    <x:row r="11" ht="86" customHeight="1">
      <x:c r="A11" s="21" t="str">
        <x:v>Clone Cyan Referenzen</x:v>
      </x:c>
      <x:c r="B11" s="22" t="str">
        <x:v>Git Bash</x:v>
      </x:c>
      <x:c r="C11" s="22" t="str">
        <x:v>git clone -b dev_new https://github.com/CyanSMP64/NatDexExtension 02_external/cyan-natdex-extension
git clone -b natdex https://github.com/CyanSMP64/universal-pokemon-randomizer-zx 02_external/cyan-upr-zx-natdex
git clone -b natdex https://github.com/CyanSMP64/pokefirered 02_external/cyan-pokefirered-natdex</x:v>
      </x:c>
      <x:c r="D11" s="22" t="str">
        <x:v>CyanSMP64 als Referenz pinnen.</x:v>
      </x:c>
      <x:c r="E11" s="23" t="str">
        <x:v>Read-only behandeln; keine Basisentscheidung überschreiben.</x:v>
      </x:c>
    </x:row>
    <x:row r="12" ht="86" customHeight="1">
      <x:c r="A12" s="21" t="str">
        <x:v>Clone Upstream Referenzen</x:v>
      </x:c>
      <x:c r="B12" s="22" t="str">
        <x:v>Git Bash</x:v>
      </x:c>
      <x:c r="C12" s="22" t="str">
        <x:v>git clone https://github.com/Skeli789/Complete-Fire-Red-Upgrade 02_external/cfru-upstream
git clone https://github.com/Skeli789/Dynamic-Pokemon-Expansion 02_external/dpe-upstream</x:v>
      </x:c>
      <x:c r="D12" s="22" t="str">
        <x:v>Offizielle upstream Doku-/Diffbasis.</x:v>
      </x:c>
      <x:c r="E12" s="23" t="str">
        <x:v>Read-only.</x:v>
      </x:c>
    </x:row>
    <x:row r="13" ht="86" customHeight="1">
      <x:c r="A13" s="21" t="str">
        <x:v>Clone Ironmon</x:v>
      </x:c>
      <x:c r="B13" s="22" t="str">
        <x:v>Git Bash</x:v>
      </x:c>
      <x:c r="C13" s="22" t="str">
        <x:v>git clone https://github.com/besteon/Ironmon-Tracker 02_external/ironmon-tracker</x:v>
      </x:c>
      <x:c r="D13" s="22" t="str">
        <x:v>Tracker-Source/Docs lokal verfügbar machen.</x:v>
      </x:c>
      <x:c r="E13" s="23" t="str">
        <x:v>Core erst nach Baseline anfassen.</x:v>
      </x:c>
    </x:row>
    <x:row r="14" ht="86" customHeight="1">
      <x:c r="A14" s="21" t="str">
        <x:v>HMA Release</x:v>
      </x:c>
      <x:c r="B14" s="22" t="str">
        <x:v>Git Bash mit gh</x:v>
      </x:c>
      <x:c r="C14" s="22" t="str">
        <x:v>gh release download -R haven1433/HexManiacAdvance --dir 03_tools/releases</x:v>
      </x:c>
      <x:c r="D14" s="22" t="str">
        <x:v>HMA Release herunterladen.</x:v>
      </x:c>
      <x:c r="E14" s="23" t="str">
        <x:v>Erst Asset/Version prüfen; ZIP nicht ins Git.</x:v>
      </x:c>
    </x:row>
    <x:row r="15" ht="86" customHeight="1">
      <x:c r="A15" s="21" t="str">
        <x:v>ROM Hash</x:v>
      </x:c>
      <x:c r="B15" s="22" t="str">
        <x:v>PowerShell</x:v>
      </x:c>
      <x:c r="C15" s="22" t="str">
        <x:v>Get-FileHash .\04_private_roms\BPRE0.gba -Algorithm SHA1</x:v>
      </x:c>
      <x:c r="D15" s="22" t="str">
        <x:v>Private ROM eindeutig dokumentieren.</x:v>
      </x:c>
      <x:c r="E15" s="23" t="str">
        <x:v>Nur Hash dokumentieren, nicht ROM hochladen.</x:v>
      </x:c>
    </x:row>
    <x:row r="16" ht="86" customHeight="1">
      <x:c r="A16" s="24" t="str">
        <x:v>Git Status Check</x:v>
      </x:c>
      <x:c r="B16" s="25" t="str">
        <x:v>Git Bash</x:v>
      </x:c>
      <x:c r="C16" s="25" t="str">
        <x:v>git status --ignored --short</x:v>
      </x:c>
      <x:c r="D16" s="25" t="str">
        <x:v>Prüfen, was Git trackt/ignoriert.</x:v>
      </x:c>
      <x:c r="E16" s="26" t="str">
        <x:v>Bei .gba/.sav als tracked sofort stoppen.</x:v>
      </x:c>
    </x:row>
    <x:row r="17" ht="48" customHeight="1">
      <x:c r="A17" s="14" t="str">
        <x:v>GitHub Meta-Repo</x:v>
      </x:c>
      <x:c r="B17" s="14" t="str">
        <x:v>Git Bash</x:v>
      </x:c>
      <x:c r="C17" s="14" t="str">
        <x:v>git remote add origin git@github.com:&lt;USER&gt;/firered-gen9-randomizer-workspace.git
git push -u origin setup/initial-workspace</x:v>
      </x:c>
      <x:c r="D17" s="14" t="str">
        <x:v>Eigenes Source-of-Truth-Repo verbinden.</x:v>
      </x:c>
      <x:c r="E17" s="14" t="str">
        <x:v>Nur Docs/Scripts/Manifeste pushen; keine ROMs/Builds.</x:v>
      </x:c>
    </x:row>
    <x:row r="18" ht="48" customHeight="1">
      <x:c r="A18" s="14" t="str">
        <x:v>Clone auf Zweitrechner</x:v>
      </x:c>
      <x:c r="B18" s="14" t="str">
        <x:v>Git Bash</x:v>
      </x:c>
      <x:c r="C18" s="14" t="str">
        <x:v>git clone git@github.com:&lt;USER&gt;/firered-gen9-randomizer-workspace.git
cd firered-gen9-randomizer-workspace
mkdir -p 03_tools/releases 04_private_roms 05_builds 02_external</x:v>
      </x:c>
      <x:c r="D18" s="14" t="str">
        <x:v>Projekt auf anderem Rechner wiederherstellen.</x:v>
      </x:c>
      <x:c r="E18" s="14" t="str">
        <x:v>Private Artefakte müssen lokal ergänzt werden.</x:v>
      </x:c>
    </x:row>
    <x:row r="19" ht="48" customHeight="1">
      <x:c r="A19" s="14" t="str">
        <x:v>Bootstrap-Doku anlegen</x:v>
      </x:c>
      <x:c r="B19" s="14" t="str">
        <x:v>Git Bash</x:v>
      </x:c>
      <x:c r="C19" s="14" t="str">
        <x:v>mkdir -p 07_scripts/bootstrap 01_docs/setup
touch 07_scripts/bootstrap/README.md 01_docs/setup/environment.md 01_docs/setup/env.example</x:v>
      </x:c>
      <x:c r="D19" s="14" t="str">
        <x:v>Reproduzierbarkeit dokumentieren.</x:v>
      </x:c>
      <x:c r="E19" s="14" t="str">
        <x:v>env.example darf keine privaten absoluten Pfade enthalten.</x:v>
      </x:c>
    </x:row>
    <x:row r="20" ht="48" customHeight="1"/>
    <x:row r="21" ht="48" customHeight="1"/>
    <x:row r="22" ht="48" customHeight="1"/>
    <x:row r="23" ht="48" customHeight="1"/>
    <x:row r="24" ht="48" customHeight="1"/>
    <x:row r="25" ht="48" customHeight="1"/>
    <x:row r="26" ht="48" customHeight="1"/>
    <x:row r="27" ht="48" customHeight="1"/>
    <x:row r="28" ht="48" customHeight="1"/>
    <x:row r="29" ht="48" customHeight="1"/>
    <x:row r="30" ht="48" customHeight="1"/>
    <x:row r="31" ht="48" customHeight="1"/>
    <x:row r="32" ht="48" customHeight="1"/>
    <x:row r="33" ht="48" customHeight="1"/>
    <x:row r="34" ht="48" customHeight="1"/>
    <x:row r="35" ht="48" customHeight="1"/>
    <x:row r="36" ht="48" customHeight="1"/>
    <x:row r="37" ht="48" customHeight="1"/>
    <x:row r="38" ht="48" customHeight="1"/>
    <x:row r="39" ht="48" customHeight="1"/>
    <x:row r="40" ht="48" customHeight="1"/>
    <x:row r="41" ht="48" customHeight="1"/>
    <x:row r="42" ht="48" customHeight="1"/>
    <x:row r="43" ht="48" customHeight="1"/>
    <x:row r="44" ht="48" customHeight="1"/>
    <x:row r="45" ht="48" customHeight="1"/>
    <x:row r="46" ht="48" customHeight="1"/>
    <x:row r="47" ht="48" customHeight="1"/>
    <x:row r="48" ht="48" customHeight="1"/>
    <x:row r="49" ht="48" customHeight="1"/>
    <x:row r="50" ht="48" customHeight="1"/>
    <x:row r="51" ht="48" customHeight="1"/>
    <x:row r="52" ht="48" customHeight="1"/>
    <x:row r="53" ht="48" customHeight="1"/>
    <x:row r="54" ht="48" customHeight="1"/>
    <x:row r="55" ht="48" customHeight="1"/>
    <x:row r="56" ht="48" customHeight="1"/>
    <x:row r="57" ht="48" customHeight="1"/>
    <x:row r="58" ht="48" customHeight="1"/>
    <x:row r="59" ht="48" customHeight="1"/>
    <x:row r="60" ht="48" customHeight="1"/>
    <x:row r="61" ht="48" customHeight="1"/>
    <x:row r="62" ht="48" customHeight="1"/>
    <x:row r="63" ht="48" customHeight="1"/>
    <x:row r="64" ht="48" customHeight="1"/>
    <x:row r="65" ht="48" customHeight="1"/>
    <x:row r="66" ht="48" customHeight="1"/>
    <x:row r="67" ht="48" customHeight="1"/>
    <x:row r="68" ht="48" customHeight="1"/>
    <x:row r="69" ht="48" customHeight="1"/>
    <x:row r="70" ht="48" customHeight="1"/>
    <x:row r="71" ht="48" customHeight="1"/>
    <x:row r="72" ht="48" customHeight="1"/>
    <x:row r="73" ht="48" customHeight="1"/>
    <x:row r="74" ht="48" customHeight="1"/>
    <x:row r="75" ht="48" customHeight="1"/>
    <x:row r="76" ht="48" customHeight="1"/>
    <x:row r="77" ht="48" customHeight="1"/>
    <x:row r="78" ht="48" customHeight="1"/>
    <x:row r="79" ht="48" customHeight="1"/>
    <x:row r="80" ht="48" customHeight="1"/>
    <x:row r="81" ht="48" customHeight="1"/>
    <x:row r="82" ht="48" customHeight="1"/>
    <x:row r="83" ht="48" customHeight="1"/>
    <x:row r="84" ht="48" customHeight="1"/>
    <x:row r="85" ht="48" customHeight="1"/>
    <x:row r="86" ht="48" customHeight="1"/>
    <x:row r="87" ht="48" customHeight="1"/>
    <x:row r="88" ht="48" customHeight="1"/>
    <x:row r="89" ht="48" customHeight="1"/>
    <x:row r="90" ht="48" customHeight="1"/>
    <x:row r="91" ht="48" customHeight="1"/>
    <x:row r="92" ht="48" customHeight="1"/>
    <x:row r="93" ht="48" customHeight="1"/>
    <x:row r="94" ht="48" customHeight="1"/>
    <x:row r="95" ht="48" customHeight="1"/>
    <x:row r="96" ht="48" customHeight="1"/>
    <x:row r="97" ht="48" customHeight="1"/>
    <x:row r="98" ht="48" customHeight="1"/>
    <x:row r="99" ht="48" customHeight="1"/>
    <x:row r="100" ht="48" customHeight="1"/>
    <x:row r="101" ht="48" customHeight="1"/>
    <x:row r="102" ht="48" customHeight="1"/>
    <x:row r="103" ht="48" customHeight="1"/>
    <x:row r="104" ht="48" customHeight="1"/>
    <x:row r="105" ht="48" customHeight="1"/>
    <x:row r="106" ht="48" customHeight="1"/>
    <x:row r="107" ht="48" customHeight="1"/>
    <x:row r="108" ht="48" customHeight="1"/>
    <x:row r="109" ht="48" customHeight="1"/>
    <x:row r="110" ht="48" customHeight="1"/>
    <x:row r="111" ht="48" customHeight="1"/>
    <x:row r="112" ht="48" customHeight="1"/>
    <x:row r="113" ht="48" customHeight="1"/>
    <x:row r="114" ht="48" customHeight="1"/>
    <x:row r="115" ht="48" customHeight="1"/>
    <x:row r="116" ht="48" customHeight="1"/>
    <x:row r="117" ht="48" customHeight="1"/>
    <x:row r="118" ht="48" customHeight="1"/>
    <x:row r="119" ht="48" customHeight="1"/>
    <x:row r="120" ht="48" customHeight="1"/>
    <x:row r="121" ht="48" customHeight="1"/>
    <x:row r="122" ht="48" customHeight="1"/>
    <x:row r="123" ht="48" customHeight="1"/>
    <x:row r="124" ht="48" customHeight="1"/>
    <x:row r="125" ht="48" customHeight="1"/>
    <x:row r="126" ht="48" customHeight="1"/>
    <x:row r="127" ht="48" customHeight="1"/>
    <x:row r="128" ht="48" customHeight="1"/>
    <x:row r="129" ht="48" customHeight="1"/>
    <x:row r="130" ht="48" customHeight="1"/>
    <x:row r="131" ht="48" customHeight="1"/>
    <x:row r="132" ht="48" customHeight="1"/>
    <x:row r="133" ht="48" customHeight="1"/>
    <x:row r="134" ht="48" customHeight="1"/>
    <x:row r="135" ht="48" customHeight="1"/>
    <x:row r="136" ht="48" customHeight="1"/>
    <x:row r="137" ht="48" customHeight="1"/>
    <x:row r="138" ht="48" customHeight="1"/>
    <x:row r="139" ht="48" customHeight="1"/>
    <x:row r="140" ht="48" customHeight="1"/>
    <x:row r="141" ht="48" customHeight="1"/>
    <x:row r="142" ht="48" customHeight="1"/>
    <x:row r="143" ht="48" customHeight="1"/>
    <x:row r="144" ht="48" customHeight="1"/>
    <x:row r="145" ht="48" customHeight="1"/>
    <x:row r="146" ht="48" customHeight="1"/>
    <x:row r="147" ht="48" customHeight="1"/>
    <x:row r="148" ht="48" customHeight="1"/>
    <x:row r="149" ht="48" customHeight="1"/>
    <x:row r="150" ht="48" customHeight="1"/>
    <x:row r="151" ht="48" customHeight="1"/>
    <x:row r="152" ht="48" customHeight="1"/>
    <x:row r="153" ht="48" customHeight="1"/>
    <x:row r="154" ht="48" customHeight="1"/>
    <x:row r="155" ht="48" customHeight="1"/>
    <x:row r="156" ht="48" customHeight="1"/>
    <x:row r="157" ht="48" customHeight="1"/>
    <x:row r="158" ht="48" customHeight="1"/>
    <x:row r="159" ht="48" customHeight="1"/>
    <x:row r="160" ht="48" customHeight="1"/>
    <x:row r="161" ht="48" customHeight="1"/>
    <x:row r="162" ht="48" customHeight="1"/>
    <x:row r="163" ht="48" customHeight="1"/>
    <x:row r="164" ht="48" customHeight="1"/>
    <x:row r="165" ht="48" customHeight="1"/>
    <x:row r="166" ht="48" customHeight="1"/>
    <x:row r="167" ht="48" customHeight="1"/>
    <x:row r="168" ht="48" customHeight="1"/>
    <x:row r="169" ht="48" customHeight="1"/>
    <x:row r="170" ht="48" customHeight="1"/>
    <x:row r="171" ht="48" customHeight="1"/>
    <x:row r="172" ht="48" customHeight="1"/>
    <x:row r="173" ht="48" customHeight="1"/>
    <x:row r="174" ht="48" customHeight="1"/>
    <x:row r="175" ht="48" customHeight="1"/>
    <x:row r="176" ht="48" customHeight="1"/>
    <x:row r="177" ht="48" customHeight="1"/>
    <x:row r="178" ht="48" customHeight="1"/>
    <x:row r="179" ht="48" customHeight="1"/>
    <x:row r="180" ht="48" customHeight="1"/>
    <x:row r="181" ht="48" customHeight="1"/>
    <x:row r="182" ht="48" customHeight="1"/>
    <x:row r="183" ht="48" customHeight="1"/>
    <x:row r="184" ht="48" customHeight="1"/>
    <x:row r="185" ht="48" customHeight="1"/>
    <x:row r="186" ht="48" customHeight="1"/>
    <x:row r="187" ht="48" customHeight="1"/>
    <x:row r="188" ht="48" customHeight="1"/>
    <x:row r="189" ht="48" customHeight="1"/>
    <x:row r="190" ht="48" customHeight="1"/>
    <x:row r="191" ht="48" customHeight="1"/>
    <x:row r="192" ht="48" customHeight="1"/>
    <x:row r="193" ht="48" customHeight="1"/>
    <x:row r="194" ht="48" customHeight="1"/>
    <x:row r="195" ht="48" customHeight="1"/>
    <x:row r="196" ht="48" customHeight="1"/>
    <x:row r="197" ht="48" customHeight="1"/>
    <x:row r="198" ht="48" customHeight="1"/>
    <x:row r="199" ht="48" customHeight="1"/>
    <x:row r="200" ht="48" customHeight="1"/>
  </x:sheetData>
  <x:pageMargins left="0.7" right="0.7" top="0.75" bottom="0.75" header="0.3" footer="0.3"/>
  <x:tableParts count="1">
    <x:tablePart xmlns:r="http://schemas.openxmlformats.org/officeDocument/2006/relationships" r:id="R4e80828c41d748fb"/>
  </x:tableParts>
</x:worksheet>
</file>

<file path=xl/worksheets/sheet5.xml><?xml version="1.0" encoding="utf-8"?>
<x:worksheet xmlns:x="http://schemas.openxmlformats.org/spreadsheetml/2006/main">
  <x:sheetFormatPr defaultRowHeight="15"/>
  <x:cols>
    <x:col min="1" max="1" width="12" hidden="0" customWidth="1"/>
    <x:col min="2" max="2" width="26" hidden="0" customWidth="1"/>
    <x:col min="3" max="3" width="36" hidden="0" customWidth="1"/>
    <x:col min="4" max="4" width="50" hidden="0" customWidth="1"/>
    <x:col min="5" max="5" width="40" hidden="0" customWidth="1"/>
    <x:col min="6" max="6" width="42" hidden="0" customWidth="1"/>
  </x:cols>
  <x:sheetData>
    <x:row r="1" ht="24" customHeight="1">
      <x:c r="A1" s="96" t="str">
        <x:v>Reihenfolge</x:v>
      </x:c>
      <x:c r="B1" s="97" t="str">
        <x:v>Setup-Baustein</x:v>
      </x:c>
      <x:c r="C1" s="97" t="str">
        <x:v>Ziel</x:v>
      </x:c>
      <x:c r="D1" s="97" t="str">
        <x:v>Konkrete Umsetzung</x:v>
      </x:c>
      <x:c r="E1" s="97" t="str">
        <x:v>Nicht tun</x:v>
      </x:c>
      <x:c r="F1" s="98" t="str">
        <x:v>Quelle</x:v>
      </x:c>
    </x:row>
    <x:row r="2">
      <x:c r="A2" s="21" t="n">
        <x:v>1</x:v>
      </x:c>
      <x:c r="B2" s="22" t="str">
        <x:v>ChatGPT-Projekt anlegen</x:v>
      </x:c>
      <x:c r="C2" s="22" t="str">
        <x:v>Dauerhafter Kontext für Roadmap, Quellen, Prompts, Handoff.</x:v>
      </x:c>
      <x:c r="D2" s="22" t="str">
        <x:v>Name: FireRed Gen9 Randomizer Workspace. Projekt-only Memory nutzen, falls verfügbar.</x:v>
      </x:c>
      <x:c r="E2" s="22" t="str">
        <x:v>Alte Einzelchats als Hauptkontext behalten.</x:v>
      </x:c>
      <x:c r="F2" s="23" t="str">
        <x:v>https://help.openai.com/en/articles/10169521-projects-in-chatgpt</x:v>
      </x:c>
    </x:row>
    <x:row r="3">
      <x:c r="A3" s="21" t="n">
        <x:v>2</x:v>
      </x:c>
      <x:c r="B3" s="22" t="str">
        <x:v>Projekt-Instructions setzen</x:v>
      </x:c>
      <x:c r="C3" s="22" t="str">
        <x:v>Antworten bleiben terminal-first, quellenbasiert, kleinschrittig und ROM-sicher.</x:v>
      </x:c>
      <x:c r="D3" s="22" t="str">
        <x:v>Text aus Projekt_Instructions Sheet übernehmen.</x:v>
      </x:c>
      <x:c r="E3" s="22" t="str">
        <x:v>ROMs/Saves/Builds hochladen oder Kompatibilität behaupten.</x:v>
      </x:c>
      <x:c r="F3" s="23" t="str">
        <x:v>https://openai.com/academy/projects/</x:v>
      </x:c>
    </x:row>
    <x:row r="4">
      <x:c r="A4" s="21" t="n">
        <x:v>3</x:v>
      </x:c>
      <x:c r="B4" s="22" t="str">
        <x:v>AGENTS.md schreiben</x:v>
      </x:c>
      <x:c r="C4" s="22" t="str">
        <x:v>Codex kennt Repo-Regeln in jeder Session.</x:v>
      </x:c>
      <x:c r="D4" s="22" t="str">
        <x:v>Root-AGENTS.md + optionale Unterordner-Regeln nutzen.</x:v>
      </x:c>
      <x:c r="E4" s="22" t="str">
        <x:v>Regeln nur im Chat belassen.</x:v>
      </x:c>
      <x:c r="F4" s="23" t="str">
        <x:v>https://developers.openai.com/codex/guides/agents-md</x:v>
      </x:c>
    </x:row>
    <x:row r="5">
      <x:c r="A5" s="21" t="n">
        <x:v>4</x:v>
      </x:c>
      <x:c r="B5" s="22" t="str">
        <x:v>.codex/config.toml schreiben</x:v>
      </x:c>
      <x:c r="C5" s="22" t="str">
        <x:v>Codex konservativ absichern.</x:v>
      </x:c>
      <x:c r="D5" s="22" t="str">
        <x:v>workspace-write, approval on-request; MCP/GitHub read-only zuerst.</x:v>
      </x:c>
      <x:c r="E5" s="22" t="str">
        <x:v>Full access/approval never für dieses Projekt.</x:v>
      </x:c>
      <x:c r="F5" s="23" t="str">
        <x:v>https://developers.openai.com/codex/cli</x:v>
      </x:c>
    </x:row>
    <x:row r="6">
      <x:c r="A6" s="21" t="n">
        <x:v>5</x:v>
      </x:c>
      <x:c r="B6" s="22" t="str">
        <x:v>GitHub MCP read-only</x:v>
      </x:c>
      <x:c r="C6" s="22" t="str">
        <x:v>Repos/Issues/PRs kontrolliert lesen.</x:v>
      </x:c>
      <x:c r="D6" s="22" t="str">
        <x:v>Minimaler Token/Toolset; Schreibaktionen erst nach explizitem Auftrag.</x:v>
      </x:c>
      <x:c r="E6" s="22" t="str">
        <x:v>PAT mit unnötigem Vollzugriff.</x:v>
      </x:c>
      <x:c r="F6" s="23" t="str">
        <x:v>https://developers.openai.com/codex/mcp</x:v>
      </x:c>
    </x:row>
    <x:row r="7">
      <x:c r="A7" s="21" t="n">
        <x:v>6</x:v>
      </x:c>
      <x:c r="B7" s="22" t="str">
        <x:v>Erster Codex-Dry-Run</x:v>
      </x:c>
      <x:c r="C7" s="22" t="str">
        <x:v>Prüfen, ob Codex Regeln beachtet.</x:v>
      </x:c>
      <x:c r="D7" s="22" t="str">
        <x:v>Nur Anweisungen zusammenfassen lassen; keine Dateien ändern.</x:v>
      </x:c>
      <x:c r="E7" s="22" t="str">
        <x:v>Build/Randomizer als ersten Task.</x:v>
      </x:c>
      <x:c r="F7" s="23" t="str">
        <x:v>https://developers.openai.com/codex/guides/agents-md</x:v>
      </x:c>
    </x:row>
    <x:row r="8">
      <x:c r="A8" s="24" t="n">
        <x:v>7</x:v>
      </x:c>
      <x:c r="B8" s="25" t="str">
        <x:v>Handoff-Dokumente pflegen</x:v>
      </x:c>
      <x:c r="C8" s="25" t="str">
        <x:v>Neue Sessions starten ohne alten Chatverlauf.</x:v>
      </x:c>
      <x:c r="D8" s="25" t="str">
        <x:v>PROJECT_BRIEF, SESSION_STATE, NEXT_STEPS nach jedem Meilenstein aktualisieren.</x:v>
      </x:c>
      <x:c r="E8" s="25" t="str">
        <x:v>Kontext nur in Chatverläufen lassen.</x:v>
      </x:c>
      <x:c r="F8" s="26" t="str">
        <x:v>https://developers.openai.com/codex/concepts/customization</x:v>
      </x:c>
    </x:row>
  </x:sheetData>
  <x:pageMargins left="0.7" right="0.7" top="0.75" bottom="0.75" header="0.3" footer="0.3"/>
  <x:tableParts count="1">
    <x:tablePart xmlns:r="http://schemas.openxmlformats.org/officeDocument/2006/relationships" r:id="R6118f750ffed4fd3"/>
  </x:tableParts>
</x:worksheet>
</file>

<file path=xl/worksheets/sheet6.xml><?xml version="1.0" encoding="utf-8"?>
<x:worksheet xmlns:x="http://schemas.openxmlformats.org/spreadsheetml/2006/main">
  <x:sheetFormatPr defaultRowHeight="15"/>
  <x:cols>
    <x:col min="1" max="1" width="24" hidden="0" customWidth="1"/>
    <x:col min="2" max="2" width="110" hidden="0" customWidth="1"/>
  </x:cols>
  <x:sheetData>
    <x:row r="1" ht="24" customHeight="1">
      <x:c r="A1" s="62" t="str">
        <x:v>Element</x:v>
      </x:c>
      <x:c r="B1" s="64" t="str">
        <x:v>Empfehlung / Text</x:v>
      </x:c>
    </x:row>
    <x:row r="2" ht="75" customHeight="1">
      <x:c r="A2" s="21" t="str">
        <x:v>Projektname</x:v>
      </x:c>
      <x:c r="B2" s="23" t="str">
        <x:v>FireRed Gen9 Randomizer Workspace</x:v>
      </x:c>
    </x:row>
    <x:row r="3" ht="75" customHeight="1">
      <x:c r="A3" s="21" t="str">
        <x:v>Erster Arbeitschat</x:v>
      </x:c>
      <x:c r="B3" s="23" t="str">
        <x:v>01 – Workspace Setup &amp; Agent-Regeln</x:v>
      </x:c>
    </x:row>
    <x:row r="4" ht="75" customHeight="1">
      <x:c r="A4" s="21" t="str">
        <x:v>Projekt-Hinweis kurz</x:v>
      </x:c>
      <x:c r="B4" s="23" t="str">
        <x:v>Dieses Projekt plant und baut einen Pokémon FireRed Gen9 ROM-Hack-Workflow mit UPR-FVX-Kompatibilität, Shiny-Miner CFRU/DPE Gen9 als primärer Kandidat, CyanSMP64 NatDex als Referenz und späterer BizHawk/Ironmon-Tracker-Kompatibilität.</x:v>
      </x:c>
    </x:row>
    <x:row r="5" ht="210" customHeight="1">
      <x:c r="A5" s="21" t="str">
        <x:v>Projekt-Instructions</x:v>
      </x:c>
      <x:c r="B5" s="23" t="str">
        <x:v>Antworte in diesem Projekt terminal-first: gib bevorzugt konkrete Git-Bash- oder PowerShell-Befehle, wenn Ordner, Downloads, Repos, Builds oder Tests betroffen sind.
Arbeite strikt patch-/source-only: keine ROM-Downloads, keine ROM-Links, keine ROMs/Saves/Builds in ChatGPT, GitHub oder Codex-Kontext hochladen.
Behandle Shiny-Miner/CFRU-expansion und Shiny-Miner/Dynamic-Pokemon-Expansion-Gen-9 als primäre Gen9-Kandidaten. Behandle UPR FVX als primären Randomizer. Behandle CyanSMP64/NatDexExtension, CyanSMP64/universal-pokemon-randomizer-zx@natdex und CyanSMP64/pokefirered@natdex als Referenzen, nicht automatisch als Zielbasis.
Arbeite kleinschrittig. Jeder Schritt muss ein klares Abnahmekriterium, betroffene Dateien, Tests/Nachweise, Risiken und den nächsten minimalen Schritt enthalten.
Dokumentiere Kontext dauerhaft in README.md, AGENTS.md, 01_docs/PROJECT_BRIEF.md, 01_docs/SESSION_STATE.md, 01_docs/NEXT_STEPS.md, 01_docs/DECISIONS_INDEX.md, 01_docs/references/tool-manifest.md und thematischen 01_docs/references/*.md. Neue Sessions sollen das Projekt ohne alten Chatverlauf verstehen.
Bei aktuellen Versionen, Releases, Dokumentation, GitHub-Repos, Tools oder rechtlich/technisch riskanten Annahmen immer Quellen prüfen und nennen.
Codex darf ohne ausdrücklichen Auftrag keine ROMs, Saves, Builds, Tool-ZIPs, privaten Pfade, GitHub-Pushes, Merges, Releases oder großen Refactors anfassen.</x:v>
      </x:c>
    </x:row>
    <x:row r="6" ht="75" customHeight="1">
      <x:c r="A6" s="21" t="str">
        <x:v>Upload in Projekt</x:v>
      </x:c>
      <x:c r="B6" s="23" t="str">
        <x:v>Excel-Checkliste, README.md, AGENTS.md, PROJECT_BRIEF.md, SESSION_STATE.md, NEXT_STEPS.md, DECISIONS_INDEX.md, tool-manifest.md, relevante 01_docs/references/*.md</x:v>
      </x:c>
    </x:row>
    <x:row r="7" ht="75" customHeight="1">
      <x:c r="A7" s="21" t="str">
        <x:v>Nicht hochladen</x:v>
      </x:c>
      <x:c r="B7" s="23" t="str">
        <x:v>*.gba, *.gb, *.gbc, *.sav, *.srm, Emulatorstates, Tool-ZIPs/Releases, private Pfade, vollständige fremde Assets</x:v>
      </x:c>
    </x:row>
    <x:row r="8" ht="110" customHeight="1">
      <x:c r="A8" s="24" t="str">
        <x:v>Erster Prompt im neuen Chat</x:v>
      </x:c>
      <x:c r="B8" s="26" t="str">
        <x:v>Wir starten mit Paket 01/02 aus der Excel-Roadmap. Ziel: Workspace per Terminal aufbauen, ohne ROMs/Builds/Downloads in Git oder ChatGPT. Bitte prüfe die hochgeladene Checkliste, gib mir die Terminalbefehle für den Workspace-Root, .gitignore, Ordnerstruktur, README/AGENTS/Handoff-Dateien und formuliere den ersten sicheren Codex-Prompt. Keine ROM- oder Buildarbeit.</x:v>
      </x:c>
    </x:row>
    <x:row r="9" ht="48" customHeight="1"/>
    <x:row r="10" ht="48" customHeight="1"/>
    <x:row r="11" ht="48" customHeight="1"/>
    <x:row r="12" ht="48" customHeight="1"/>
    <x:row r="13" ht="48" customHeight="1"/>
    <x:row r="14" ht="48" customHeight="1"/>
    <x:row r="15" ht="48" customHeight="1"/>
    <x:row r="16" ht="48" customHeight="1"/>
    <x:row r="17" ht="48" customHeight="1"/>
    <x:row r="18" ht="48" customHeight="1"/>
    <x:row r="19" ht="48" customHeight="1"/>
    <x:row r="20" ht="48" customHeight="1"/>
    <x:row r="21" ht="48" customHeight="1"/>
    <x:row r="22" ht="48" customHeight="1"/>
    <x:row r="23" ht="48" customHeight="1"/>
    <x:row r="24" ht="48" customHeight="1"/>
    <x:row r="25" ht="48" customHeight="1"/>
    <x:row r="26" ht="48" customHeight="1"/>
    <x:row r="27" ht="48" customHeight="1"/>
    <x:row r="28" ht="48" customHeight="1"/>
    <x:row r="29" ht="48" customHeight="1"/>
    <x:row r="30" ht="48" customHeight="1"/>
    <x:row r="31" ht="48" customHeight="1"/>
    <x:row r="32" ht="48" customHeight="1"/>
    <x:row r="33" ht="48" customHeight="1"/>
    <x:row r="34" ht="48" customHeight="1"/>
    <x:row r="35" ht="48" customHeight="1"/>
    <x:row r="36" ht="48" customHeight="1"/>
    <x:row r="37" ht="48" customHeight="1"/>
    <x:row r="38" ht="48" customHeight="1"/>
    <x:row r="39" ht="48" customHeight="1"/>
    <x:row r="40" ht="48" customHeight="1"/>
    <x:row r="41" ht="48" customHeight="1"/>
    <x:row r="42" ht="48" customHeight="1"/>
    <x:row r="43" ht="48" customHeight="1"/>
    <x:row r="44" ht="48" customHeight="1"/>
    <x:row r="45" ht="48" customHeight="1"/>
    <x:row r="46" ht="48" customHeight="1"/>
    <x:row r="47" ht="48" customHeight="1"/>
    <x:row r="48" ht="48" customHeight="1"/>
    <x:row r="49" ht="48" customHeight="1"/>
    <x:row r="50" ht="48" customHeight="1"/>
    <x:row r="51" ht="48" customHeight="1"/>
    <x:row r="52" ht="48" customHeight="1"/>
    <x:row r="53" ht="48" customHeight="1"/>
    <x:row r="54" ht="48" customHeight="1"/>
    <x:row r="55" ht="48" customHeight="1"/>
    <x:row r="56" ht="48" customHeight="1"/>
    <x:row r="57" ht="48" customHeight="1"/>
    <x:row r="58" ht="48" customHeight="1"/>
    <x:row r="59" ht="48" customHeight="1"/>
    <x:row r="60" ht="48" customHeight="1"/>
    <x:row r="61" ht="48" customHeight="1"/>
    <x:row r="62" ht="48" customHeight="1"/>
    <x:row r="63" ht="48" customHeight="1"/>
    <x:row r="64" ht="48" customHeight="1"/>
    <x:row r="65" ht="48" customHeight="1"/>
    <x:row r="66" ht="48" customHeight="1"/>
    <x:row r="67" ht="48" customHeight="1"/>
    <x:row r="68" ht="48" customHeight="1"/>
    <x:row r="69" ht="48" customHeight="1"/>
    <x:row r="70" ht="48" customHeight="1"/>
    <x:row r="71" ht="48" customHeight="1"/>
    <x:row r="72" ht="48" customHeight="1"/>
    <x:row r="73" ht="48" customHeight="1"/>
    <x:row r="74" ht="48" customHeight="1"/>
    <x:row r="75" ht="48" customHeight="1"/>
    <x:row r="76" ht="48" customHeight="1"/>
    <x:row r="77" ht="48" customHeight="1"/>
    <x:row r="78" ht="48" customHeight="1"/>
    <x:row r="79" ht="48" customHeight="1"/>
    <x:row r="80" ht="48" customHeight="1"/>
    <x:row r="81" ht="48" customHeight="1"/>
    <x:row r="82" ht="48" customHeight="1"/>
    <x:row r="83" ht="48" customHeight="1"/>
    <x:row r="84" ht="48" customHeight="1"/>
    <x:row r="85" ht="48" customHeight="1"/>
    <x:row r="86" ht="48" customHeight="1"/>
    <x:row r="87" ht="48" customHeight="1"/>
    <x:row r="88" ht="48" customHeight="1"/>
    <x:row r="89" ht="48" customHeight="1"/>
    <x:row r="90" ht="48" customHeight="1"/>
    <x:row r="91" ht="48" customHeight="1"/>
    <x:row r="92" ht="48" customHeight="1"/>
    <x:row r="93" ht="48" customHeight="1"/>
    <x:row r="94" ht="48" customHeight="1"/>
    <x:row r="95" ht="48" customHeight="1"/>
    <x:row r="96" ht="48" customHeight="1"/>
    <x:row r="97" ht="48" customHeight="1"/>
    <x:row r="98" ht="48" customHeight="1"/>
    <x:row r="99" ht="48" customHeight="1"/>
    <x:row r="100" ht="48" customHeight="1"/>
    <x:row r="101" ht="48" customHeight="1"/>
    <x:row r="102" ht="48" customHeight="1"/>
    <x:row r="103" ht="48" customHeight="1"/>
    <x:row r="104" ht="48" customHeight="1"/>
    <x:row r="105" ht="48" customHeight="1"/>
    <x:row r="106" ht="48" customHeight="1"/>
    <x:row r="107" ht="48" customHeight="1"/>
    <x:row r="108" ht="48" customHeight="1"/>
    <x:row r="109" ht="48" customHeight="1"/>
    <x:row r="110" ht="48" customHeight="1"/>
    <x:row r="111" ht="48" customHeight="1"/>
    <x:row r="112" ht="48" customHeight="1"/>
    <x:row r="113" ht="48" customHeight="1"/>
    <x:row r="114" ht="48" customHeight="1"/>
    <x:row r="115" ht="48" customHeight="1"/>
    <x:row r="116" ht="48" customHeight="1"/>
    <x:row r="117" ht="48" customHeight="1"/>
    <x:row r="118" ht="48" customHeight="1"/>
    <x:row r="119" ht="48" customHeight="1"/>
    <x:row r="120" ht="48" customHeight="1"/>
    <x:row r="121" ht="48" customHeight="1"/>
    <x:row r="122" ht="48" customHeight="1"/>
    <x:row r="123" ht="48" customHeight="1"/>
    <x:row r="124" ht="48" customHeight="1"/>
    <x:row r="125" ht="48" customHeight="1"/>
    <x:row r="126" ht="48" customHeight="1"/>
    <x:row r="127" ht="48" customHeight="1"/>
    <x:row r="128" ht="48" customHeight="1"/>
    <x:row r="129" ht="48" customHeight="1"/>
    <x:row r="130" ht="48" customHeight="1"/>
    <x:row r="131" ht="48" customHeight="1"/>
    <x:row r="132" ht="48" customHeight="1"/>
    <x:row r="133" ht="48" customHeight="1"/>
    <x:row r="134" ht="48" customHeight="1"/>
    <x:row r="135" ht="48" customHeight="1"/>
    <x:row r="136" ht="48" customHeight="1"/>
    <x:row r="137" ht="48" customHeight="1"/>
    <x:row r="138" ht="48" customHeight="1"/>
    <x:row r="139" ht="48" customHeight="1"/>
    <x:row r="140" ht="48" customHeight="1"/>
    <x:row r="141" ht="48" customHeight="1"/>
    <x:row r="142" ht="48" customHeight="1"/>
    <x:row r="143" ht="48" customHeight="1"/>
    <x:row r="144" ht="48" customHeight="1"/>
    <x:row r="145" ht="48" customHeight="1"/>
    <x:row r="146" ht="48" customHeight="1"/>
    <x:row r="147" ht="48" customHeight="1"/>
    <x:row r="148" ht="48" customHeight="1"/>
    <x:row r="149" ht="48" customHeight="1"/>
    <x:row r="150" ht="48" customHeight="1"/>
    <x:row r="151" ht="48" customHeight="1"/>
    <x:row r="152" ht="48" customHeight="1"/>
    <x:row r="153" ht="48" customHeight="1"/>
    <x:row r="154" ht="48" customHeight="1"/>
    <x:row r="155" ht="48" customHeight="1"/>
    <x:row r="156" ht="48" customHeight="1"/>
    <x:row r="157" ht="48" customHeight="1"/>
    <x:row r="158" ht="48" customHeight="1"/>
    <x:row r="159" ht="48" customHeight="1"/>
    <x:row r="160" ht="48" customHeight="1"/>
    <x:row r="161" ht="48" customHeight="1"/>
    <x:row r="162" ht="48" customHeight="1"/>
    <x:row r="163" ht="48" customHeight="1"/>
    <x:row r="164" ht="48" customHeight="1"/>
    <x:row r="165" ht="48" customHeight="1"/>
    <x:row r="166" ht="48" customHeight="1"/>
    <x:row r="167" ht="48" customHeight="1"/>
    <x:row r="168" ht="48" customHeight="1"/>
    <x:row r="169" ht="48" customHeight="1"/>
    <x:row r="170" ht="48" customHeight="1"/>
    <x:row r="171" ht="48" customHeight="1"/>
    <x:row r="172" ht="48" customHeight="1"/>
    <x:row r="173" ht="48" customHeight="1"/>
    <x:row r="174" ht="48" customHeight="1"/>
    <x:row r="175" ht="48" customHeight="1"/>
    <x:row r="176" ht="48" customHeight="1"/>
    <x:row r="177" ht="48" customHeight="1"/>
    <x:row r="178" ht="48" customHeight="1"/>
    <x:row r="179" ht="48" customHeight="1"/>
    <x:row r="180" ht="48" customHeight="1"/>
    <x:row r="181" ht="48" customHeight="1"/>
    <x:row r="182" ht="48" customHeight="1"/>
    <x:row r="183" ht="48" customHeight="1"/>
    <x:row r="184" ht="48" customHeight="1"/>
    <x:row r="185" ht="48" customHeight="1"/>
    <x:row r="186" ht="48" customHeight="1"/>
    <x:row r="187" ht="48" customHeight="1"/>
    <x:row r="188" ht="48" customHeight="1"/>
    <x:row r="189" ht="48" customHeight="1"/>
    <x:row r="190" ht="48" customHeight="1"/>
    <x:row r="191" ht="48" customHeight="1"/>
    <x:row r="192" ht="48" customHeight="1"/>
    <x:row r="193" ht="48" customHeight="1"/>
    <x:row r="194" ht="48" customHeight="1"/>
    <x:row r="195" ht="48" customHeight="1"/>
    <x:row r="196" ht="48" customHeight="1"/>
    <x:row r="197" ht="48" customHeight="1"/>
    <x:row r="198" ht="48" customHeight="1"/>
    <x:row r="199" ht="48" customHeight="1"/>
    <x:row r="200" ht="48" customHeight="1"/>
  </x:sheetData>
  <x:pageMargins left="0.7" right="0.7" top="0.75" bottom="0.75" header="0.3" footer="0.3"/>
  <x:tableParts count="1">
    <x:tablePart xmlns:r="http://schemas.openxmlformats.org/officeDocument/2006/relationships" r:id="R9bdf25b1025140e3"/>
  </x:tableParts>
</x:worksheet>
</file>

<file path=xl/worksheets/sheet7.xml><?xml version="1.0" encoding="utf-8"?>
<x:worksheet xmlns:x="http://schemas.openxmlformats.org/spreadsheetml/2006/main">
  <x:sheetFormatPr defaultRowHeight="15"/>
  <x:cols>
    <x:col min="1" max="1" width="18" hidden="0" customWidth="1"/>
    <x:col min="2" max="2" width="36" hidden="0" customWidth="1"/>
    <x:col min="3" max="3" width="40" hidden="0" customWidth="1"/>
    <x:col min="4" max="4" width="36" hidden="0" customWidth="1"/>
    <x:col min="5" max="5" width="36" hidden="0" customWidth="1"/>
    <x:col min="6" max="6" width="14" hidden="0" customWidth="1"/>
  </x:cols>
  <x:sheetData>
    <x:row r="1" ht="24" customHeight="1">
      <x:c r="A1" s="112" t="str">
        <x:v>Bereich</x:v>
      </x:c>
      <x:c r="B1" s="113" t="str">
        <x:v>Regel</x:v>
      </x:c>
      <x:c r="C1" s="113" t="str">
        <x:v>Begründung</x:v>
      </x:c>
      <x:c r="D1" s="113" t="str">
        <x:v>Erlaubt</x:v>
      </x:c>
      <x:c r="E1" s="113" t="str">
        <x:v>Nicht erlaubt</x:v>
      </x:c>
      <x:c r="F1" s="114" t="str">
        <x:v>Status</x:v>
      </x:c>
    </x:row>
    <x:row r="2">
      <x:c r="A2" s="21" t="str">
        <x:v>Arbeitsgröße</x:v>
      </x:c>
      <x:c r="B2" s="22" t="str">
        <x:v>Ein Codex-Task liefert genau ein klar prüfbares Ergebnis.</x:v>
      </x:c>
      <x:c r="C2" s="22" t="str">
        <x:v>CFRU/DPE/FVX/Ironmon sind fehleranfällig; kleine Diffs sind reviewbar.</x:v>
      </x:c>
      <x:c r="D2" s="22" t="str">
        <x:v>Ein Dokument, ein Mapping, ein Buildtest, ein isoliertes Feature.</x:v>
      </x:c>
      <x:c r="E2" s="22" t="str">
        <x:v>„Mach alles kompatibel“ oder mehrere Systeme gleichzeitig ändern.</x:v>
      </x:c>
      <x:c r="F2" s="23" t="str">
        <x:v>Aktiv</x:v>
      </x:c>
    </x:row>
    <x:row r="3">
      <x:c r="A3" s="21" t="str">
        <x:v>Dateizugriff</x:v>
      </x:c>
      <x:c r="B3" s="22" t="str">
        <x:v>Codex darf nur im Workspace arbeiten; private ROM-/Buildordner sind tabu.</x:v>
      </x:c>
      <x:c r="C3" s="22" t="str">
        <x:v>Schützt ROMs, Saves und Builds vor Commit/Änderung.</x:v>
      </x:c>
      <x:c r="D3" s="22" t="str">
        <x:v>01_docs, 07_scripts, 08_tests, AGENTS.md, README, definierte Branches.</x:v>
      </x:c>
      <x:c r="E3" s="22" t="str">
        <x:v>04_private_roms, 05_builds, 03_tools/releases, private Saves.</x:v>
      </x:c>
      <x:c r="F3" s="23" t="str">
        <x:v>Aktiv</x:v>
      </x:c>
    </x:row>
    <x:row r="4">
      <x:c r="A4" s="21" t="str">
        <x:v>Terminal</x:v>
      </x:c>
      <x:c r="B4" s="22" t="str">
        <x:v>Terminalbefehle müssen erklärbar und reversibel sein.</x:v>
      </x:c>
      <x:c r="C4" s="22" t="str">
        <x:v>Du bevorzugst Terminalarbeit und möchtest Befehle prüfen können.</x:v>
      </x:c>
      <x:c r="D4" s="22" t="str">
        <x:v>mkdir, git clone, git status, version checks, read-only inspection.</x:v>
      </x:c>
      <x:c r="E4" s="22" t="str">
        <x:v>Ungeprüfte Downloads ausführen, destructive rm, globale Pfade ohne Doku ändern.</x:v>
      </x:c>
      <x:c r="F4" s="23" t="str">
        <x:v>Aktiv</x:v>
      </x:c>
    </x:row>
    <x:row r="5">
      <x:c r="A5" s="21" t="str">
        <x:v>Git</x:v>
      </x:c>
      <x:c r="B5" s="22" t="str">
        <x:v>Codex arbeitet auf Branches und liefert Diff-Zusammenfassung.</x:v>
      </x:c>
      <x:c r="C5" s="22" t="str">
        <x:v>Reviewpflicht bleibt bei dir.</x:v>
      </x:c>
      <x:c r="D5" s="22" t="str">
        <x:v>git diff/status, Branch erstellen, Commit-Vorschlag.</x:v>
      </x:c>
      <x:c r="E5" s="22" t="str">
        <x:v>push, merge, force-push, release ohne Auftrag.</x:v>
      </x:c>
      <x:c r="F5" s="23" t="str">
        <x:v>Aktiv</x:v>
      </x:c>
    </x:row>
    <x:row r="6">
      <x:c r="A6" s="21" t="str">
        <x:v>Build/Tests</x:v>
      </x:c>
      <x:c r="B6" s="22" t="str">
        <x:v>Codex darf Tests ausführen, wenn keine privaten ROMs nötig sind oder ROM_PATH explizit lokal gesetzt ist.</x:v>
      </x:c>
      <x:c r="C6" s="22" t="str">
        <x:v>Reproduzierbarkeit und Sicherheit.</x:v>
      </x:c>
      <x:c r="D6" s="22" t="str">
        <x:v>Java/Gradle tests, dry-run scripts, lokale Build-Anleitung.</x:v>
      </x:c>
      <x:c r="E6" s="22" t="str">
        <x:v>ROMs downloaden, private Pfade hardcoden, Buildoutputs committen.</x:v>
      </x:c>
      <x:c r="F6" s="23" t="str">
        <x:v>Aktiv</x:v>
      </x:c>
    </x:row>
    <x:row r="7">
      <x:c r="A7" s="21" t="str">
        <x:v>MCP/GitHub</x:v>
      </x:c>
      <x:c r="B7" s="22" t="str">
        <x:v>MCP/GitHub zuerst read-only; Schreibtools nur nach Aufgabe.</x:v>
      </x:c>
      <x:c r="C7" s="22" t="str">
        <x:v>MCP kann echte Repo-/Issue-/PR-Aktionen ausführen.</x:v>
      </x:c>
      <x:c r="D7" s="22" t="str">
        <x:v>Repos lesen, Issues listen, PR-Diff analysieren.</x:v>
      </x:c>
      <x:c r="E7" s="22" t="str">
        <x:v>Issue/PR erstellen/ändern ohne ausdrücklichen Auftrag.</x:v>
      </x:c>
      <x:c r="F7" s="23" t="str">
        <x:v>Aktiv</x:v>
      </x:c>
    </x:row>
    <x:row r="8">
      <x:c r="A8" s="21" t="str">
        <x:v>HMA</x:v>
      </x:c>
      <x:c r="B8" s="22" t="str">
        <x:v>HMA erst read-only/Analyse, bis Backup-Prozess steht.</x:v>
      </x:c>
      <x:c r="C8" s="22" t="str">
        <x:v>HMA kann ROMs direkt verändern.</x:v>
      </x:c>
      <x:c r="D8" s="22" t="str">
        <x:v>Tabellen lokalisieren, Screens/Notizen machen.</x:v>
      </x:c>
      <x:c r="E8" s="22" t="str">
        <x:v>ROM speichern ohne Backup/Protokoll.</x:v>
      </x:c>
      <x:c r="F8" s="23" t="str">
        <x:v>Aktiv</x:v>
      </x:c>
    </x:row>
    <x:row r="9">
      <x:c r="A9" s="21" t="str">
        <x:v>Kommunikation</x:v>
      </x:c>
      <x:c r="B9" s="22" t="str">
        <x:v>Jede Codex-Antwort enthält Summary, Dateien, Tests, Risiken/Annahmen, nächsten minimalen Schritt.</x:v>
      </x:c>
      <x:c r="C9" s="22" t="str">
        <x:v>Macht Agent-Arbeit reviewbar.</x:v>
      </x:c>
      <x:c r="D9" s="22" t="str">
        <x:v>Standard-Abgabeformat verwenden.</x:v>
      </x:c>
      <x:c r="E9" s="22" t="str">
        <x:v>Nur „fertig“ schreiben.</x:v>
      </x:c>
      <x:c r="F9" s="23" t="str">
        <x:v>Aktiv</x:v>
      </x:c>
    </x:row>
    <x:row r="10">
      <x:c r="A10" s="24" t="str">
        <x:v>Handoff</x:v>
      </x:c>
      <x:c r="B10" s="25" t="str">
        <x:v>Nach jedem Meilenstein SESSION_STATE und NEXT_STEPS aktualisieren.</x:v>
      </x:c>
      <x:c r="C10" s="25" t="str">
        <x:v>Neue Sessions sollen Projektkontext verstehen.</x:v>
      </x:c>
      <x:c r="D10" s="25" t="str">
        <x:v>Handoff-Dokumente pflegen.</x:v>
      </x:c>
      <x:c r="E10" s="25" t="str">
        <x:v>Kontext nur im Chat lassen.</x:v>
      </x:c>
      <x:c r="F10" s="26" t="str">
        <x:v>Aktiv</x:v>
      </x:c>
    </x:row>
  </x:sheetData>
  <x:dataValidations count="1">
    <x:dataValidation type="list" sqref="F2:F10">
      <x:formula1>"Aktiv,Zu prüfen,Ersetzt"</x:formula1>
    </x:dataValidation>
  </x:dataValidations>
  <x:pageMargins left="0.7" right="0.7" top="0.75" bottom="0.75" header="0.3" footer="0.3"/>
  <x:tableParts count="1">
    <x:tablePart xmlns:r="http://schemas.openxmlformats.org/officeDocument/2006/relationships" r:id="Rf95cabd84f014fff"/>
  </x:tableParts>
</x:worksheet>
</file>

<file path=xl/worksheets/sheet8.xml><?xml version="1.0" encoding="utf-8"?>
<x:worksheet xmlns:x="http://schemas.openxmlformats.org/spreadsheetml/2006/main">
  <x:sheetFormatPr defaultRowHeight="15"/>
  <x:cols>
    <x:col min="1" max="1" width="34" hidden="0" customWidth="1"/>
    <x:col min="2" max="2" width="28" hidden="0" customWidth="1"/>
    <x:col min="3" max="3" width="46" hidden="0" customWidth="1"/>
    <x:col min="4" max="4" width="40" hidden="0" customWidth="1"/>
    <x:col min="5" max="5" width="36" hidden="0" customWidth="1"/>
  </x:cols>
  <x:sheetData>
    <x:row r="1" ht="24" customHeight="1">
      <x:c r="A1" s="62" t="str">
        <x:v>Datei</x:v>
      </x:c>
      <x:c r="B1" s="63" t="str">
        <x:v>Wann erstellen</x:v>
      </x:c>
      <x:c r="C1" s="63" t="str">
        <x:v>Inhalt</x:v>
      </x:c>
      <x:c r="D1" s="63" t="str">
        <x:v>Warum wichtig</x:v>
      </x:c>
      <x:c r="E1" s="64" t="str">
        <x:v>Codex-Regel</x:v>
      </x:c>
    </x:row>
    <x:row r="2" ht="48" customHeight="1">
      <x:c r="A2" s="21" t="str">
        <x:v>README.md</x:v>
      </x:c>
      <x:c r="B2" s="22" t="str">
        <x:v>Direkt beim Workspace-Setup</x:v>
      </x:c>
      <x:c r="C2" s="22" t="str">
        <x:v>Ziel, Nicht-Ziele, Legal/ROM-Policy, Kurzworkflow, wichtigste Links.</x:v>
      </x:c>
      <x:c r="D2" s="22" t="str">
        <x:v>Erste Orientierung für Menschen und Agenten.</x:v>
      </x:c>
      <x:c r="E2" s="23" t="str">
        <x:v>Immer kurz halten; Details in 01_docs/.</x:v>
      </x:c>
    </x:row>
    <x:row r="3" ht="48" customHeight="1">
      <x:c r="A3" s="21" t="str">
        <x:v>AGENTS.md</x:v>
      </x:c>
      <x:c r="B3" s="22" t="str">
        <x:v>Vor erstem Codex-Arbeitsschritt</x:v>
      </x:c>
      <x:c r="C3" s="22" t="str">
        <x:v>Agentenregeln, erlaubte/verbotene Pfade, Outputformat, Testpflicht.</x:v>
      </x:c>
      <x:c r="D3" s="22" t="str">
        <x:v>Codex liest diese Datei vor der Arbeit.</x:v>
      </x:c>
      <x:c r="E3" s="23" t="str">
        <x:v>Bei wiederholten Fehlern aktualisieren.</x:v>
      </x:c>
    </x:row>
    <x:row r="4" ht="48" customHeight="1">
      <x:c r="A4" s="21" t="str">
        <x:v>01_docs/PROJECT_BRIEF.md</x:v>
      </x:c>
      <x:c r="B4" s="22" t="str">
        <x:v>Vor neuem Hauptchat</x:v>
      </x:c>
      <x:c r="C4" s="22" t="str">
        <x:v>Projektziel, Komponenten, Architekturidee, Status auf 1–2 Seiten.</x:v>
      </x:c>
      <x:c r="D4" s="22" t="str">
        <x:v>Neue ChatGPT-Session versteht den Gesamtauftrag.</x:v>
      </x:c>
      <x:c r="E4" s="23" t="str">
        <x:v>Keine ROM-/Private-Daten.</x:v>
      </x:c>
    </x:row>
    <x:row r="5" ht="48" customHeight="1">
      <x:c r="A5" s="21" t="str">
        <x:v>01_docs/SESSION_STATE.md</x:v>
      </x:c>
      <x:c r="B5" s="22" t="str">
        <x:v>Nach jedem Arbeitsblock</x:v>
      </x:c>
      <x:c r="C5" s="22" t="str">
        <x:v>Aktueller Stand, letzte Entscheidungen, aktive Branches, offene Risiken.</x:v>
      </x:c>
      <x:c r="D5" s="22" t="str">
        <x:v>Schneller Wiedereinstieg.</x:v>
      </x:c>
      <x:c r="E5" s="23" t="str">
        <x:v>Immer zuletzt aktualisieren.</x:v>
      </x:c>
    </x:row>
    <x:row r="6" ht="48" customHeight="1">
      <x:c r="A6" s="21" t="str">
        <x:v>01_docs/NEXT_STEPS.md</x:v>
      </x:c>
      <x:c r="B6" s="22" t="str">
        <x:v>Nach jedem Arbeitsblock</x:v>
      </x:c>
      <x:c r="C6" s="22" t="str">
        <x:v>Nächste 3–5 konkrete Tasks mit Abnahmekriterium.</x:v>
      </x:c>
      <x:c r="D6" s="22" t="str">
        <x:v>Verhindert Scope Creep.</x:v>
      </x:c>
      <x:c r="E6" s="23" t="str">
        <x:v>Keine langen Wunschlisten.</x:v>
      </x:c>
    </x:row>
    <x:row r="7" ht="48" customHeight="1">
      <x:c r="A7" s="21" t="str">
        <x:v>01_docs/DECISIONS_INDEX.md</x:v>
      </x:c>
      <x:c r="B7" s="22" t="str">
        <x:v>Beim Setup</x:v>
      </x:c>
      <x:c r="C7" s="22" t="str">
        <x:v>Liste aller Decision Logs mit Status.</x:v>
      </x:c>
      <x:c r="D7" s="22" t="str">
        <x:v>Architekturentscheidungen bleiben auffindbar.</x:v>
      </x:c>
      <x:c r="E7" s="23" t="str">
        <x:v>Jede Entscheidung verlinken.</x:v>
      </x:c>
    </x:row>
    <x:row r="8" ht="48" customHeight="1">
      <x:c r="A8" s="21" t="str">
        <x:v>01_docs/decisions/*.md</x:v>
      </x:c>
      <x:c r="B8" s="22" t="str">
        <x:v>Bei jeder Architektur-/Toolentscheidung</x:v>
      </x:c>
      <x:c r="C8" s="22" t="str">
        <x:v>Kontext, Optionen, Entscheidung, Konsequenzen, Quellen.</x:v>
      </x:c>
      <x:c r="D8" s="22" t="str">
        <x:v>Nachvollziehbarkeit.</x:v>
      </x:c>
      <x:c r="E8" s="23" t="str">
        <x:v>Kurz, konkret, datiert.</x:v>
      </x:c>
    </x:row>
    <x:row r="9" ht="48" customHeight="1">
      <x:c r="A9" s="21" t="str">
        <x:v>01_docs/references/tool-manifest.md</x:v>
      </x:c>
      <x:c r="B9" s="22" t="str">
        <x:v>Vor Downloads/Clones</x:v>
      </x:c>
      <x:c r="C9" s="22" t="str">
        <x:v>Tool, Repo, Branch, Commit, Release, Datum, Zweck.</x:v>
      </x:c>
      <x:c r="D9" s="22" t="str">
        <x:v>Reproduzierbarkeit.</x:v>
      </x:c>
      <x:c r="E9" s="23" t="str">
        <x:v>Jeder Download/Clone braucht Eintrag.</x:v>
      </x:c>
    </x:row>
    <x:row r="10" ht="48" customHeight="1">
      <x:c r="A10" s="21" t="str">
        <x:v>01_docs/references/source-index.md</x:v>
      </x:c>
      <x:c r="B10" s="22" t="str">
        <x:v>Vor Doku-Analyse</x:v>
      </x:c>
      <x:c r="C10" s="22" t="str">
        <x:v>Quellen mit URL, Relevanz, Planstand.</x:v>
      </x:c>
      <x:c r="D10" s="22" t="str">
        <x:v>Quellenpflicht und neue Session.</x:v>
      </x:c>
      <x:c r="E10" s="23" t="str">
        <x:v>URLs als Plaintext.</x:v>
      </x:c>
    </x:row>
    <x:row r="11" ht="48" customHeight="1">
      <x:c r="A11" s="21" t="str">
        <x:v>01_docs/randomizer/gen3-handler-map.md</x:v>
      </x:c>
      <x:c r="B11" s="22" t="str">
        <x:v>Vor FVX-Codeänderungen</x:v>
      </x:c>
      <x:c r="C11" s="22" t="str">
        <x:v>UPR/FVX Annahmen vs. Custom ROM Tabellen.</x:v>
      </x:c>
      <x:c r="D11" s="22" t="str">
        <x:v>Kern der Randomizer-Kompatibilität.</x:v>
      </x:c>
      <x:c r="E11" s="23" t="str">
        <x:v>Keine Offsets ohne Quelle/Test.</x:v>
      </x:c>
    </x:row>
    <x:row r="12" ht="48" customHeight="1">
      <x:c r="A12" s="24" t="str">
        <x:v>01_docs/ironmon/tracker-map.md</x:v>
      </x:c>
      <x:c r="B12" s="25" t="str">
        <x:v>Vor Tracker-Anpassungen</x:v>
      </x:c>
      <x:c r="C12" s="25" t="str">
        <x:v>Tracker RAM/ROM Annahmen, UI-Grenzen, Custom-ROM-Risiken.</x:v>
      </x:c>
      <x:c r="D12" s="25" t="str">
        <x:v>Kern der Ironmon-Kompatibilität.</x:v>
      </x:c>
      <x:c r="E12" s="26" t="str">
        <x:v>Extension vor Core-Hack prüfen.</x:v>
      </x:c>
    </x:row>
    <x:row r="13" ht="48" customHeight="1"/>
    <x:row r="14" ht="48" customHeight="1"/>
    <x:row r="15" ht="48" customHeight="1"/>
    <x:row r="16" ht="48" customHeight="1"/>
    <x:row r="17" ht="48" customHeight="1"/>
    <x:row r="18" ht="48" customHeight="1"/>
    <x:row r="19" ht="48" customHeight="1"/>
    <x:row r="20" ht="48" customHeight="1"/>
    <x:row r="21" ht="48" customHeight="1"/>
    <x:row r="22" ht="48" customHeight="1"/>
    <x:row r="23" ht="48" customHeight="1"/>
    <x:row r="24" ht="48" customHeight="1"/>
    <x:row r="25" ht="48" customHeight="1"/>
    <x:row r="26" ht="48" customHeight="1"/>
    <x:row r="27" ht="48" customHeight="1"/>
    <x:row r="28" ht="48" customHeight="1"/>
    <x:row r="29" ht="48" customHeight="1"/>
    <x:row r="30" ht="48" customHeight="1"/>
    <x:row r="31" ht="48" customHeight="1"/>
    <x:row r="32" ht="48" customHeight="1"/>
    <x:row r="33" ht="48" customHeight="1"/>
    <x:row r="34" ht="48" customHeight="1"/>
    <x:row r="35" ht="48" customHeight="1"/>
    <x:row r="36" ht="48" customHeight="1"/>
    <x:row r="37" ht="48" customHeight="1"/>
    <x:row r="38" ht="48" customHeight="1"/>
    <x:row r="39" ht="48" customHeight="1"/>
    <x:row r="40" ht="48" customHeight="1"/>
    <x:row r="41" ht="48" customHeight="1"/>
    <x:row r="42" ht="48" customHeight="1"/>
    <x:row r="43" ht="48" customHeight="1"/>
    <x:row r="44" ht="48" customHeight="1"/>
    <x:row r="45" ht="48" customHeight="1"/>
    <x:row r="46" ht="48" customHeight="1"/>
    <x:row r="47" ht="48" customHeight="1"/>
    <x:row r="48" ht="48" customHeight="1"/>
    <x:row r="49" ht="48" customHeight="1"/>
    <x:row r="50" ht="48" customHeight="1"/>
    <x:row r="51" ht="48" customHeight="1"/>
    <x:row r="52" ht="48" customHeight="1"/>
    <x:row r="53" ht="48" customHeight="1"/>
    <x:row r="54" ht="48" customHeight="1"/>
    <x:row r="55" ht="48" customHeight="1"/>
    <x:row r="56" ht="48" customHeight="1"/>
    <x:row r="57" ht="48" customHeight="1"/>
    <x:row r="58" ht="48" customHeight="1"/>
    <x:row r="59" ht="48" customHeight="1"/>
    <x:row r="60" ht="48" customHeight="1"/>
    <x:row r="61" ht="48" customHeight="1"/>
    <x:row r="62" ht="48" customHeight="1"/>
    <x:row r="63" ht="48" customHeight="1"/>
    <x:row r="64" ht="48" customHeight="1"/>
    <x:row r="65" ht="48" customHeight="1"/>
    <x:row r="66" ht="48" customHeight="1"/>
    <x:row r="67" ht="48" customHeight="1"/>
    <x:row r="68" ht="48" customHeight="1"/>
    <x:row r="69" ht="48" customHeight="1"/>
    <x:row r="70" ht="48" customHeight="1"/>
    <x:row r="71" ht="48" customHeight="1"/>
    <x:row r="72" ht="48" customHeight="1"/>
    <x:row r="73" ht="48" customHeight="1"/>
    <x:row r="74" ht="48" customHeight="1"/>
    <x:row r="75" ht="48" customHeight="1"/>
    <x:row r="76" ht="48" customHeight="1"/>
    <x:row r="77" ht="48" customHeight="1"/>
    <x:row r="78" ht="48" customHeight="1"/>
    <x:row r="79" ht="48" customHeight="1"/>
    <x:row r="80" ht="48" customHeight="1"/>
    <x:row r="81" ht="48" customHeight="1"/>
    <x:row r="82" ht="48" customHeight="1"/>
    <x:row r="83" ht="48" customHeight="1"/>
    <x:row r="84" ht="48" customHeight="1"/>
    <x:row r="85" ht="48" customHeight="1"/>
    <x:row r="86" ht="48" customHeight="1"/>
    <x:row r="87" ht="48" customHeight="1"/>
    <x:row r="88" ht="48" customHeight="1"/>
    <x:row r="89" ht="48" customHeight="1"/>
    <x:row r="90" ht="48" customHeight="1"/>
    <x:row r="91" ht="48" customHeight="1"/>
    <x:row r="92" ht="48" customHeight="1"/>
    <x:row r="93" ht="48" customHeight="1"/>
    <x:row r="94" ht="48" customHeight="1"/>
    <x:row r="95" ht="48" customHeight="1"/>
    <x:row r="96" ht="48" customHeight="1"/>
    <x:row r="97" ht="48" customHeight="1"/>
    <x:row r="98" ht="48" customHeight="1"/>
    <x:row r="99" ht="48" customHeight="1"/>
    <x:row r="100" ht="48" customHeight="1"/>
    <x:row r="101" ht="48" customHeight="1"/>
    <x:row r="102" ht="48" customHeight="1"/>
    <x:row r="103" ht="48" customHeight="1"/>
    <x:row r="104" ht="48" customHeight="1"/>
    <x:row r="105" ht="48" customHeight="1"/>
    <x:row r="106" ht="48" customHeight="1"/>
    <x:row r="107" ht="48" customHeight="1"/>
    <x:row r="108" ht="48" customHeight="1"/>
    <x:row r="109" ht="48" customHeight="1"/>
    <x:row r="110" ht="48" customHeight="1"/>
    <x:row r="111" ht="48" customHeight="1"/>
    <x:row r="112" ht="48" customHeight="1"/>
    <x:row r="113" ht="48" customHeight="1"/>
    <x:row r="114" ht="48" customHeight="1"/>
    <x:row r="115" ht="48" customHeight="1"/>
    <x:row r="116" ht="48" customHeight="1"/>
    <x:row r="117" ht="48" customHeight="1"/>
    <x:row r="118" ht="48" customHeight="1"/>
    <x:row r="119" ht="48" customHeight="1"/>
    <x:row r="120" ht="48" customHeight="1"/>
    <x:row r="121" ht="48" customHeight="1"/>
    <x:row r="122" ht="48" customHeight="1"/>
    <x:row r="123" ht="48" customHeight="1"/>
    <x:row r="124" ht="48" customHeight="1"/>
    <x:row r="125" ht="48" customHeight="1"/>
    <x:row r="126" ht="48" customHeight="1"/>
    <x:row r="127" ht="48" customHeight="1"/>
    <x:row r="128" ht="48" customHeight="1"/>
    <x:row r="129" ht="48" customHeight="1"/>
    <x:row r="130" ht="48" customHeight="1"/>
    <x:row r="131" ht="48" customHeight="1"/>
    <x:row r="132" ht="48" customHeight="1"/>
    <x:row r="133" ht="48" customHeight="1"/>
    <x:row r="134" ht="48" customHeight="1"/>
    <x:row r="135" ht="48" customHeight="1"/>
    <x:row r="136" ht="48" customHeight="1"/>
    <x:row r="137" ht="48" customHeight="1"/>
    <x:row r="138" ht="48" customHeight="1"/>
    <x:row r="139" ht="48" customHeight="1"/>
    <x:row r="140" ht="48" customHeight="1"/>
    <x:row r="141" ht="48" customHeight="1"/>
    <x:row r="142" ht="48" customHeight="1"/>
    <x:row r="143" ht="48" customHeight="1"/>
    <x:row r="144" ht="48" customHeight="1"/>
    <x:row r="145" ht="48" customHeight="1"/>
    <x:row r="146" ht="48" customHeight="1"/>
    <x:row r="147" ht="48" customHeight="1"/>
    <x:row r="148" ht="48" customHeight="1"/>
    <x:row r="149" ht="48" customHeight="1"/>
    <x:row r="150" ht="48" customHeight="1"/>
    <x:row r="151" ht="48" customHeight="1"/>
    <x:row r="152" ht="48" customHeight="1"/>
    <x:row r="153" ht="48" customHeight="1"/>
    <x:row r="154" ht="48" customHeight="1"/>
    <x:row r="155" ht="48" customHeight="1"/>
    <x:row r="156" ht="48" customHeight="1"/>
    <x:row r="157" ht="48" customHeight="1"/>
    <x:row r="158" ht="48" customHeight="1"/>
    <x:row r="159" ht="48" customHeight="1"/>
    <x:row r="160" ht="48" customHeight="1"/>
    <x:row r="161" ht="48" customHeight="1"/>
    <x:row r="162" ht="48" customHeight="1"/>
    <x:row r="163" ht="48" customHeight="1"/>
    <x:row r="164" ht="48" customHeight="1"/>
    <x:row r="165" ht="48" customHeight="1"/>
    <x:row r="166" ht="48" customHeight="1"/>
    <x:row r="167" ht="48" customHeight="1"/>
    <x:row r="168" ht="48" customHeight="1"/>
    <x:row r="169" ht="48" customHeight="1"/>
    <x:row r="170" ht="48" customHeight="1"/>
    <x:row r="171" ht="48" customHeight="1"/>
    <x:row r="172" ht="48" customHeight="1"/>
    <x:row r="173" ht="48" customHeight="1"/>
    <x:row r="174" ht="48" customHeight="1"/>
    <x:row r="175" ht="48" customHeight="1"/>
    <x:row r="176" ht="48" customHeight="1"/>
    <x:row r="177" ht="48" customHeight="1"/>
    <x:row r="178" ht="48" customHeight="1"/>
    <x:row r="179" ht="48" customHeight="1"/>
    <x:row r="180" ht="48" customHeight="1"/>
    <x:row r="181" ht="48" customHeight="1"/>
    <x:row r="182" ht="48" customHeight="1"/>
    <x:row r="183" ht="48" customHeight="1"/>
    <x:row r="184" ht="48" customHeight="1"/>
    <x:row r="185" ht="48" customHeight="1"/>
    <x:row r="186" ht="48" customHeight="1"/>
    <x:row r="187" ht="48" customHeight="1"/>
    <x:row r="188" ht="48" customHeight="1"/>
    <x:row r="189" ht="48" customHeight="1"/>
    <x:row r="190" ht="48" customHeight="1"/>
    <x:row r="191" ht="48" customHeight="1"/>
    <x:row r="192" ht="48" customHeight="1"/>
    <x:row r="193" ht="48" customHeight="1"/>
    <x:row r="194" ht="48" customHeight="1"/>
    <x:row r="195" ht="48" customHeight="1"/>
    <x:row r="196" ht="48" customHeight="1"/>
    <x:row r="197" ht="48" customHeight="1"/>
    <x:row r="198" ht="48" customHeight="1"/>
    <x:row r="199" ht="48" customHeight="1"/>
    <x:row r="200" ht="48" customHeight="1"/>
  </x:sheetData>
  <x:pageMargins left="0.7" right="0.7" top="0.75" bottom="0.75" header="0.3" footer="0.3"/>
  <x:tableParts count="1">
    <x:tablePart xmlns:r="http://schemas.openxmlformats.org/officeDocument/2006/relationships" r:id="Re88affb2f8e24019"/>
  </x:tableParts>
</x:worksheet>
</file>

<file path=xl/worksheets/sheet9.xml><?xml version="1.0" encoding="utf-8"?>
<x:worksheet xmlns:x="http://schemas.openxmlformats.org/spreadsheetml/2006/main">
  <x:sheetFormatPr defaultRowHeight="15"/>
  <x:cols>
    <x:col min="1" max="1" width="28" hidden="0" customWidth="1"/>
    <x:col min="2" max="2" width="30" hidden="0" customWidth="1"/>
    <x:col min="3" max="3" width="34" hidden="0" customWidth="1"/>
    <x:col min="4" max="4" width="58" hidden="0" customWidth="1"/>
    <x:col min="5" max="5" width="28" hidden="0" customWidth="1"/>
    <x:col min="6" max="6" width="34" hidden="0" customWidth="1"/>
    <x:col min="7" max="7" width="36" hidden="0" customWidth="1"/>
    <x:col min="8" max="8" width="16" hidden="0" customWidth="1"/>
  </x:cols>
  <x:sheetData>
    <x:row r="1" ht="24" customHeight="1">
      <x:c r="A1" s="128" t="str">
        <x:v>Komponente</x:v>
      </x:c>
      <x:c r="B1" s="129" t="str">
        <x:v>Rolle</x:v>
      </x:c>
      <x:c r="C1" s="129" t="str">
        <x:v>Pfad</x:v>
      </x:c>
      <x:c r="D1" s="129" t="str">
        <x:v>URL</x:v>
      </x:c>
      <x:c r="E1" s="129" t="str">
        <x:v>Branch/Version</x:v>
      </x:c>
      <x:c r="F1" s="129" t="str">
        <x:v>Risiko</x:v>
      </x:c>
      <x:c r="G1" s="129" t="str">
        <x:v>Erster Prüfschritt</x:v>
      </x:c>
      <x:c r="H1" s="130" t="str">
        <x:v>Status</x:v>
      </x:c>
    </x:row>
    <x:row r="2">
      <x:c r="A2" s="21" t="str">
        <x:v>Shiny-Miner CFRU-expansion</x:v>
      </x:c>
      <x:c r="B2" s="22" t="str">
        <x:v>Primärer Gen9-CFRU-Kandidat</x:v>
      </x:c>
      <x:c r="C2" s="22" t="str">
        <x:v>02_external/cfru-gen9</x:v>
      </x:c>
      <x:c r="D2" s="22" t="str">
        <x:v>https://github.com/Shiny-Miner/CFRU-expansion</x:v>
      </x:c>
      <x:c r="E2" s="22" t="str">
        <x:v>Experiments / Commit pinnen</x:v>
      </x:c>
      <x:c r="F2" s="22" t="str">
        <x:v>Keine Releases; experimenteller Fork; Build-/Bugrisiken</x:v>
      </x:c>
      <x:c r="G2" s="22" t="str">
        <x:v>Clone, Commit hash, README/Known Issues prüfen</x:v>
      </x:c>
      <x:c r="H2" s="23" t="str">
        <x:v>Noch offen</x:v>
      </x:c>
    </x:row>
    <x:row r="3">
      <x:c r="A3" s="21" t="str">
        <x:v>Shiny-Miner DPE Gen9</x:v>
      </x:c>
      <x:c r="B3" s="22" t="str">
        <x:v>Primärer DPE-Gen9-Kandidat</x:v>
      </x:c>
      <x:c r="C3" s="22" t="str">
        <x:v>02_external/dpe-gen9</x:v>
      </x:c>
      <x:c r="D3" s="22" t="str">
        <x:v>https://github.com/Shiny-Miner/Dynamic-Pokemon-Expansion-Gen-9</x:v>
      </x:c>
      <x:c r="E3" s="22" t="str">
        <x:v>master / Commit pinnen</x:v>
      </x:c>
      <x:c r="F3" s="22" t="str">
        <x:v>Keine Releases; Form-/Sprite-/Assetfragen</x:v>
      </x:c>
      <x:c r="G3" s="22" t="str">
        <x:v>Clone, Commit hash, Build-Hinweise prüfen</x:v>
      </x:c>
      <x:c r="H3" s="23" t="str">
        <x:v>Noch offen</x:v>
      </x:c>
    </x:row>
    <x:row r="4">
      <x:c r="A4" s="21" t="str">
        <x:v>Skeli CFRU upstream</x:v>
      </x:c>
      <x:c r="B4" s="22" t="str">
        <x:v>Offizielle CFRU-Referenz</x:v>
      </x:c>
      <x:c r="C4" s="22" t="str">
        <x:v>02_external/cfru-upstream</x:v>
      </x:c>
      <x:c r="D4" s="22" t="str">
        <x:v>https://github.com/Skeli789/Complete-Fire-Red-Upgrade</x:v>
      </x:c>
      <x:c r="E4" s="22" t="str">
        <x:v>master / Commit pinnen</x:v>
      </x:c>
      <x:c r="F4" s="22" t="str">
        <x:v>Upstream nicht Gen9-vollständig</x:v>
      </x:c>
      <x:c r="G4" s="22" t="str">
        <x:v>Doku/Installationshinweise lesen</x:v>
      </x:c>
      <x:c r="H4" s="23" t="str">
        <x:v>Noch offen</x:v>
      </x:c>
    </x:row>
    <x:row r="5">
      <x:c r="A5" s="21" t="str">
        <x:v>Skeli DPE upstream</x:v>
      </x:c>
      <x:c r="B5" s="22" t="str">
        <x:v>Offizielle DPE-Referenz</x:v>
      </x:c>
      <x:c r="C5" s="22" t="str">
        <x:v>02_external/dpe-upstream</x:v>
      </x:c>
      <x:c r="D5" s="22" t="str">
        <x:v>https://github.com/Skeli789/Dynamic-Pokemon-Expansion</x:v>
      </x:c>
      <x:c r="E5" s="22" t="str">
        <x:v>master / Commit pinnen</x:v>
      </x:c>
      <x:c r="F5" s="22" t="str">
        <x:v>Reihenfolge/defines können Crashes verursachen</x:v>
      </x:c>
      <x:c r="G5" s="22" t="str">
        <x:v>README/DPE-Hinweise mappen</x:v>
      </x:c>
      <x:c r="H5" s="23" t="str">
        <x:v>Noch offen</x:v>
      </x:c>
    </x:row>
    <x:row r="6">
      <x:c r="A6" s="21" t="str">
        <x:v>UPR FVX</x:v>
      </x:c>
      <x:c r="B6" s="22" t="str">
        <x:v>Primärer aktueller Randomizer</x:v>
      </x:c>
      <x:c r="C6" s="22" t="str">
        <x:v>02_external/upr-fvx + 03_tools/releases</x:v>
      </x:c>
      <x:c r="D6" s="22" t="str">
        <x:v>https://github.com/upr-fvx/universal-pokemon-randomizer-fvx</x:v>
      </x:c>
      <x:c r="E6" s="22" t="str">
        <x:v>Latest Release + Commit pinnen</x:v>
      </x:c>
      <x:c r="F6" s="22" t="str">
        <x:v>Vanilla-Support ≠ Custom-ROM-Support</x:v>
      </x:c>
      <x:c r="G6" s="22" t="str">
        <x:v>Vanilla test, Source clone, Manifest</x:v>
      </x:c>
      <x:c r="H6" s="23" t="str">
        <x:v>Noch offen</x:v>
      </x:c>
    </x:row>
    <x:row r="7">
      <x:c r="A7" s="21" t="str">
        <x:v>UPR ZX</x:v>
      </x:c>
      <x:c r="B7" s="22" t="str">
        <x:v>Historische Referenz/Fallback</x:v>
      </x:c>
      <x:c r="C7" s="22" t="str">
        <x:v>02_external/upr-zx optional</x:v>
      </x:c>
      <x:c r="D7" s="22" t="str">
        <x:v>https://github.com/Ajarmar/universal-pokemon-randomizer-zx</x:v>
      </x:c>
      <x:c r="E7" s="22" t="str">
        <x:v>v4.6.1/Repo-Stand</x:v>
      </x:c>
      <x:c r="F7" s="22" t="str">
        <x:v>Älter als FVX; ROM-hack-Issues</x:v>
      </x:c>
      <x:c r="G7" s="22" t="str">
        <x:v>Issue-/Wiki-Fehlermuster dokumentieren</x:v>
      </x:c>
      <x:c r="H7" s="23" t="str">
        <x:v>Noch offen</x:v>
      </x:c>
    </x:row>
    <x:row r="8">
      <x:c r="A8" s="21" t="str">
        <x:v>Cyan NatDexExtension</x:v>
      </x:c>
      <x:c r="B8" s="22" t="str">
        <x:v>Ironmon/NatDex-Kompatibilitätsreferenz</x:v>
      </x:c>
      <x:c r="C8" s="22" t="str">
        <x:v>02_external/cyan-natdex-extension</x:v>
      </x:c>
      <x:c r="D8" s="22" t="str">
        <x:v>https://github.com/CyanSMP64/NatDexExtension/tree/dev_new</x:v>
      </x:c>
      <x:c r="E8" s="22" t="str">
        <x:v>dev_new / Release v1.1.3 prüfen</x:v>
      </x:c>
      <x:c r="F8" s="22" t="str">
        <x:v>Nicht automatisch passend zu Shiny/FVX</x:v>
      </x:c>
      <x:c r="G8" s="22" t="str">
        <x:v>Extension/rnqs/release notes analysieren</x:v>
      </x:c>
      <x:c r="H8" s="23" t="str">
        <x:v>Noch offen</x:v>
      </x:c>
    </x:row>
    <x:row r="9">
      <x:c r="A9" s="21" t="str">
        <x:v>Cyan UPR ZX natdex</x:v>
      </x:c>
      <x:c r="B9" s="22" t="str">
        <x:v>Randomizer-NatDex-Referenz</x:v>
      </x:c>
      <x:c r="C9" s="22" t="str">
        <x:v>02_external/cyan-upr-zx-natdex</x:v>
      </x:c>
      <x:c r="D9" s="22" t="str">
        <x:v>https://github.com/CyanSMP64/universal-pokemon-randomizer-zx/tree/natdex</x:v>
      </x:c>
      <x:c r="E9" s="22" t="str">
        <x:v>natdex / Commit pinnen</x:v>
      </x:c>
      <x:c r="F9" s="22" t="str">
        <x:v>ZX-Basis, nicht FVX</x:v>
      </x:c>
      <x:c r="G9" s="22" t="str">
        <x:v>Gen3 handler/settings/rnqs Diffs mappen</x:v>
      </x:c>
      <x:c r="H9" s="23" t="str">
        <x:v>Noch offen</x:v>
      </x:c>
    </x:row>
    <x:row r="10">
      <x:c r="A10" s="21" t="str">
        <x:v>Cyan pokefirered natdex</x:v>
      </x:c>
      <x:c r="B10" s="22" t="str">
        <x:v>NatDex-ROM-Layout-Referenz</x:v>
      </x:c>
      <x:c r="C10" s="22" t="str">
        <x:v>02_external/cyan-pokefirered-natdex</x:v>
      </x:c>
      <x:c r="D10" s="22" t="str">
        <x:v>https://github.com/CyanSMP64/pokefirered/tree/natdex</x:v>
      </x:c>
      <x:c r="E10" s="22" t="str">
        <x:v>natdex / Commit pinnen</x:v>
      </x:c>
      <x:c r="F10" s="22" t="str">
        <x:v>Andere Codebase/Annahmen</x:v>
      </x:c>
      <x:c r="G10" s="22" t="str">
        <x:v>Tabellenlayout und Datenannahmen vergleichen</x:v>
      </x:c>
      <x:c r="H10" s="23" t="str">
        <x:v>Noch offen</x:v>
      </x:c>
    </x:row>
    <x:row r="11">
      <x:c r="A11" s="21" t="str">
        <x:v>pret/pokefirered</x:v>
      </x:c>
      <x:c r="B11" s="22" t="str">
        <x:v>Optionale decomp Layout-/Buildreferenz</x:v>
      </x:c>
      <x:c r="C11" s="22" t="str">
        <x:v>02_external/pret-pokefirered optional</x:v>
      </x:c>
      <x:c r="D11" s="22" t="str">
        <x:v>https://github.com/pret/pokefirered</x:v>
      </x:c>
      <x:c r="E11" s="22" t="str">
        <x:v>master / optional</x:v>
      </x:c>
      <x:c r="F11" s="22" t="str">
        <x:v>Nicht mit binary CFRU/DPE verwechseln</x:v>
      </x:c>
      <x:c r="G11" s="22" t="str">
        <x:v>Nur als Referenz indexieren</x:v>
      </x:c>
      <x:c r="H11" s="23" t="str">
        <x:v>Noch offen</x:v>
      </x:c>
    </x:row>
    <x:row r="12">
      <x:c r="A12" s="21" t="str">
        <x:v>pokeemerald-expansion</x:v>
      </x:c>
      <x:c r="B12" s="22" t="str">
        <x:v>Optionale Architektur-/Gen9-Referenz</x:v>
      </x:c>
      <x:c r="C12" s="22" t="str">
        <x:v>Nur Link</x:v>
      </x:c>
      <x:c r="D12" s="22" t="str">
        <x:v>https://github.com/rh-hideout/pokeemerald-expansion</x:v>
      </x:c>
      <x:c r="E12" s="22" t="str">
        <x:v>Release/branch nur bei Bedarf</x:v>
      </x:c>
      <x:c r="F12" s="22" t="str">
        <x:v>Emerald, nicht FireRed; kein Basiswechsel</x:v>
      </x:c>
      <x:c r="G12" s="22" t="str">
        <x:v>Nur als Designreferenz markieren</x:v>
      </x:c>
      <x:c r="H12" s="23" t="str">
        <x:v>Noch offen</x:v>
      </x:c>
    </x:row>
    <x:row r="13">
      <x:c r="A13" s="21" t="str">
        <x:v>Hex Maniac Advance</x:v>
      </x:c>
      <x:c r="B13" s="22" t="str">
        <x:v>Editor/Analyse</x:v>
      </x:c>
      <x:c r="C13" s="22" t="str">
        <x:v>03_tools/releases oder lokal</x:v>
      </x:c>
      <x:c r="D13" s="22" t="str">
        <x:v>https://github.com/haven1433/HexManiacAdvance</x:v>
      </x:c>
      <x:c r="E13" s="22" t="str">
        <x:v>Release pinnen</x:v>
      </x:c>
      <x:c r="F13" s="22" t="str">
        <x:v>Kann ROMs direkt verändern</x:v>
      </x:c>
      <x:c r="G13" s="22" t="str">
        <x:v>Read-only Workflow definieren</x:v>
      </x:c>
      <x:c r="H13" s="23" t="str">
        <x:v>Noch offen</x:v>
      </x:c>
    </x:row>
    <x:row r="14">
      <x:c r="A14" s="21" t="str">
        <x:v>BizHawk</x:v>
      </x:c>
      <x:c r="B14" s="22" t="str">
        <x:v>Emulator für Tracker</x:v>
      </x:c>
      <x:c r="C14" s="22" t="str">
        <x:v>03_tools lokal</x:v>
      </x:c>
      <x:c r="D14" s="22" t="str">
        <x:v>https://tasvideos.org/Bizhawk/ReleaseHistory</x:v>
      </x:c>
      <x:c r="E14" s="22" t="str">
        <x:v>Version dokumentieren</x:v>
      </x:c>
      <x:c r="F14" s="22" t="str">
        <x:v>Lua/Tracker versionsabhängig</x:v>
      </x:c>
      <x:c r="G14" s="22" t="str">
        <x:v>Vanilla FireRed Test</x:v>
      </x:c>
      <x:c r="H14" s="23" t="str">
        <x:v>Noch offen</x:v>
      </x:c>
    </x:row>
    <x:row r="15">
      <x:c r="A15" s="21" t="str">
        <x:v>Ironmon Tracker</x:v>
      </x:c>
      <x:c r="B15" s="22" t="str">
        <x:v>Tracker und New Runs</x:v>
      </x:c>
      <x:c r="C15" s="22" t="str">
        <x:v>02_external/ironmon-tracker</x:v>
      </x:c>
      <x:c r="D15" s="22" t="str">
        <x:v>https://github.com/besteon/Ironmon-Tracker</x:v>
      </x:c>
      <x:c r="E15" s="22" t="str">
        <x:v>Release/Commit pinnen</x:v>
      </x:c>
      <x:c r="F15" s="22" t="str">
        <x:v>Custom-ROM-Annahmen können brechen</x:v>
      </x:c>
      <x:c r="G15" s="22" t="str">
        <x:v>Vanilla + Custom Smoke Test</x:v>
      </x:c>
      <x:c r="H15" s="23" t="str">
        <x:v>Noch offen</x:v>
      </x:c>
    </x:row>
    <x:row r="16">
      <x:c r="A16" s="21" t="str">
        <x:v>devkitPro/devkitARM</x:v>
      </x:c>
      <x:c r="B16" s="22" t="str">
        <x:v>Build-Toolchain</x:v>
      </x:c>
      <x:c r="C16" s="22" t="str">
        <x:v>Systemweit/lokal dokumentiert</x:v>
      </x:c>
      <x:c r="D16" s="22" t="str">
        <x:v>https://devkitpro.org/wiki/Getting_Started</x:v>
      </x:c>
      <x:c r="E16" s="22" t="str">
        <x:v>Version dokumentieren</x:v>
      </x:c>
      <x:c r="F16" s="22" t="str">
        <x:v>PATH/Python-Versionen</x:v>
      </x:c>
      <x:c r="G16" s="22" t="str">
        <x:v>Versionen prüfen</x:v>
      </x:c>
      <x:c r="H16" s="23" t="str">
        <x:v>Noch offen</x:v>
      </x:c>
    </x:row>
    <x:row r="17">
      <x:c r="A17" s="21" t="str">
        <x:v>Codex CLI/IDE</x:v>
      </x:c>
      <x:c r="B17" s="22" t="str">
        <x:v>Agentenworkflow</x:v>
      </x:c>
      <x:c r="C17" s="22" t="str">
        <x:v>AGENTS.md + .codex</x:v>
      </x:c>
      <x:c r="D17" s="22" t="str">
        <x:v>https://developers.openai.com/codex/cli</x:v>
      </x:c>
      <x:c r="E17" s="22" t="str">
        <x:v>CLI/IDE Version dokumentieren</x:v>
      </x:c>
      <x:c r="F17" s="22" t="str">
        <x:v>Zu breiter Scope</x:v>
      </x:c>
      <x:c r="G17" s="22" t="str">
        <x:v>Dry-run ohne Änderungen</x:v>
      </x:c>
      <x:c r="H17" s="23" t="str">
        <x:v>Als Nächstes</x:v>
      </x:c>
    </x:row>
    <x:row r="18">
      <x:c r="A18" s="24" t="str">
        <x:v>ChatGPT Project</x:v>
      </x:c>
      <x:c r="B18" s="25" t="str">
        <x:v>Kontextspeicher</x:v>
      </x:c>
      <x:c r="C18" s="25" t="str">
        <x:v>Projektdateien</x:v>
      </x:c>
      <x:c r="D18" s="25" t="str">
        <x:v>https://help.openai.com/en/articles/10169521-projects-in-chatgpt</x:v>
      </x:c>
      <x:c r="E18" s="25" t="str">
        <x:v>Projekt-Instructions</x:v>
      </x:c>
      <x:c r="F18" s="25" t="str">
        <x:v>Zu viele/irrelevante Dateien</x:v>
      </x:c>
      <x:c r="G18" s="25" t="str">
        <x:v>Projekt anlegen</x:v>
      </x:c>
      <x:c r="H18" s="26" t="str">
        <x:v>Als Nächstes</x:v>
      </x:c>
    </x:row>
  </x:sheetData>
  <x:dataValidations count="1">
    <x:dataValidation type="list" sqref="H2:H18">
      <x:formula1>"Noch offen,Als Nächstes,In Arbeit,Review/Test,Warten/Blockiert,Erledigt"</x:formula1>
    </x:dataValidation>
  </x:dataValidations>
  <x:pageMargins left="0.7" right="0.7" top="0.75" bottom="0.75" header="0.3" footer="0.3"/>
  <x:tableParts count="1">
    <x:tablePart xmlns:r="http://schemas.openxmlformats.org/officeDocument/2006/relationships" r:id="R2540c04d331a49f4"/>
  </x:tableParts>
</x:worksheet>
</file>

<file path=xl/worksheets/sheet10.xml><?xml version="1.0" encoding="utf-8"?>
<x:worksheet xmlns:x="http://schemas.openxmlformats.org/spreadsheetml/2006/main">
  <x:sheetFormatPr defaultRowHeight="15"/>
  <x:cols>
    <x:col min="1" max="1" width="6" hidden="0" customWidth="1"/>
    <x:col min="2" max="2" width="38" hidden="0" customWidth="1"/>
    <x:col min="3" max="3" width="20" hidden="0" customWidth="1"/>
    <x:col min="4" max="4" width="32" hidden="0" customWidth="1"/>
    <x:col min="5" max="5" width="42" hidden="0" customWidth="1"/>
    <x:col min="6" max="6" width="34" hidden="0" customWidth="1"/>
  </x:cols>
  <x:sheetData>
    <x:row r="1" ht="24" customHeight="1">
      <x:c r="A1" s="62" t="str">
        <x:v>Nr.</x:v>
      </x:c>
      <x:c r="B1" s="63" t="str">
        <x:v>Pfad</x:v>
      </x:c>
      <x:c r="C1" s="63" t="str">
        <x:v>Git tracked?</x:v>
      </x:c>
      <x:c r="D1" s="63" t="str">
        <x:v>Zweck</x:v>
      </x:c>
      <x:c r="E1" s="63" t="str">
        <x:v>Regel</x:v>
      </x:c>
      <x:c r="F1" s="64" t="str">
        <x:v>Beispielinhalt</x:v>
      </x:c>
    </x:row>
    <x:row r="2">
      <x:c r="A2" s="21" t="str">
        <x:v>00</x:v>
      </x:c>
      <x:c r="B2" s="22" t="str">
        <x:v>fr-rando-gen9/</x:v>
      </x:c>
      <x:c r="C2" s="22" t="str">
        <x:v>Ja</x:v>
      </x:c>
      <x:c r="D2" s="22" t="str">
        <x:v>Workspace-Root</x:v>
      </x:c>
      <x:c r="E2" s="22" t="str">
        <x:v>JetBrains, Codex und Git hier öffnen.</x:v>
      </x:c>
      <x:c r="F2" s="23" t="str">
        <x:v>README.md, AGENTS.md, .gitignore</x:v>
      </x:c>
    </x:row>
    <x:row r="3">
      <x:c r="A3" s="21" t="str">
        <x:v>00</x:v>
      </x:c>
      <x:c r="B3" s="22" t="str">
        <x:v>00_project-control/</x:v>
      </x:c>
      <x:c r="C3" s="22" t="str">
        <x:v>Ja</x:v>
      </x:c>
      <x:c r="D3" s="22" t="str">
        <x:v>Projektsteuerung</x:v>
      </x:c>
      <x:c r="E3" s="22" t="str">
        <x:v>Konfigs/Checklisten/Meta; keine ROMs.</x:v>
      </x:c>
      <x:c r="F3" s="23" t="str">
        <x:v>.codex/config.toml, prompt notes</x:v>
      </x:c>
    </x:row>
    <x:row r="4">
      <x:c r="A4" s="21" t="str">
        <x:v>01</x:v>
      </x:c>
      <x:c r="B4" s="22" t="str">
        <x:v>01_docs/references/</x:v>
      </x:c>
      <x:c r="C4" s="22" t="str">
        <x:v>Ja</x:v>
      </x:c>
      <x:c r="D4" s="22" t="str">
        <x:v>Quellen und Tooldoku</x:v>
      </x:c>
      <x:c r="E4" s="22" t="str">
        <x:v>Links + kurze Notizen; URLs als Plaintext.</x:v>
      </x:c>
      <x:c r="F4" s="23" t="str">
        <x:v>cfru.md, dpe.md, source-index.md</x:v>
      </x:c>
    </x:row>
    <x:row r="5">
      <x:c r="A5" s="21" t="str">
        <x:v>01</x:v>
      </x:c>
      <x:c r="B5" s="22" t="str">
        <x:v>01_docs/decisions/</x:v>
      </x:c>
      <x:c r="C5" s="22" t="str">
        <x:v>Ja</x:v>
      </x:c>
      <x:c r="D5" s="22" t="str">
        <x:v>Decision Logs</x:v>
      </x:c>
      <x:c r="E5" s="22" t="str">
        <x:v>Jede Architekturentscheidung kurz festhalten.</x:v>
      </x:c>
      <x:c r="F5" s="23" t="str">
        <x:v>base-rom.md, randomizer-strategy.md</x:v>
      </x:c>
    </x:row>
    <x:row r="6">
      <x:c r="A6" s="21" t="str">
        <x:v>01</x:v>
      </x:c>
      <x:c r="B6" s="22" t="str">
        <x:v>01_docs/setup/</x:v>
      </x:c>
      <x:c r="C6" s="22" t="str">
        <x:v>Ja</x:v>
      </x:c>
      <x:c r="D6" s="22" t="str">
        <x:v>Setup-Anleitungen</x:v>
      </x:c>
      <x:c r="E6" s="22" t="str">
        <x:v>Terminal, Toolchain, Codex, MCP, GitHub.</x:v>
      </x:c>
      <x:c r="F6" s="23" t="str">
        <x:v>terminal-commands.md, toolchain.md</x:v>
      </x:c>
    </x:row>
    <x:row r="7">
      <x:c r="A7" s="21" t="str">
        <x:v>01</x:v>
      </x:c>
      <x:c r="B7" s="22" t="str">
        <x:v>01_docs/randomizer/</x:v>
      </x:c>
      <x:c r="C7" s="22" t="str">
        <x:v>Ja</x:v>
      </x:c>
      <x:c r="D7" s="22" t="str">
        <x:v>Randomizer-Kompatibilität</x:v>
      </x:c>
      <x:c r="E7" s="22" t="str">
        <x:v>FVX/ZX Handler, Tabellen, Fehler, Seeds.</x:v>
      </x:c>
      <x:c r="F7" s="23" t="str">
        <x:v>gen3-handler-map.md</x:v>
      </x:c>
    </x:row>
    <x:row r="8">
      <x:c r="A8" s="21" t="str">
        <x:v>01</x:v>
      </x:c>
      <x:c r="B8" s="22" t="str">
        <x:v>01_docs/ironmon/</x:v>
      </x:c>
      <x:c r="C8" s="22" t="str">
        <x:v>Ja</x:v>
      </x:c>
      <x:c r="D8" s="22" t="str">
        <x:v>Tracker-Kompatibilität</x:v>
      </x:c>
      <x:c r="E8" s="22" t="str">
        <x:v>Memory/ROM assumptions, Extension-Plan.</x:v>
      </x:c>
      <x:c r="F8" s="23" t="str">
        <x:v>tracker-map.md</x:v>
      </x:c>
    </x:row>
    <x:row r="9">
      <x:c r="A9" s="21" t="str">
        <x:v>02</x:v>
      </x:c>
      <x:c r="B9" s="22" t="str">
        <x:v>02_external/cfru-gen9/</x:v>
      </x:c>
      <x:c r="C9" s="22" t="str">
        <x:v>Ja/optional submodule</x:v>
      </x:c>
      <x:c r="D9" s="22" t="str">
        <x:v>Primärer CFRU Gen9 Kandidat</x:v>
      </x:c>
      <x:c r="E9" s="22" t="str">
        <x:v>Commit pinnen; nur Branches ändern.</x:v>
      </x:c>
      <x:c r="F9" s="23" t="str">
        <x:v>Shiny-Miner CFRU-expansion</x:v>
      </x:c>
    </x:row>
    <x:row r="10">
      <x:c r="A10" s="21" t="str">
        <x:v>02</x:v>
      </x:c>
      <x:c r="B10" s="22" t="str">
        <x:v>02_external/dpe-gen9/</x:v>
      </x:c>
      <x:c r="C10" s="22" t="str">
        <x:v>Ja/optional submodule</x:v>
      </x:c>
      <x:c r="D10" s="22" t="str">
        <x:v>Primärer DPE Gen9 Kandidat</x:v>
      </x:c>
      <x:c r="E10" s="22" t="str">
        <x:v>Commit pinnen; paired mit CFRU prüfen.</x:v>
      </x:c>
      <x:c r="F10" s="23" t="str">
        <x:v>Shiny-Miner DPE Gen9</x:v>
      </x:c>
    </x:row>
    <x:row r="11">
      <x:c r="A11" s="21" t="str">
        <x:v>02</x:v>
      </x:c>
      <x:c r="B11" s="22" t="str">
        <x:v>02_external/upr-fvx/</x:v>
      </x:c>
      <x:c r="C11" s="22" t="str">
        <x:v>Ja/optional submodule</x:v>
      </x:c>
      <x:c r="D11" s="22" t="str">
        <x:v>Randomizer Source/Fork</x:v>
      </x:c>
      <x:c r="E11" s="22" t="str">
        <x:v>FVX bleibt primäres Randomizer-Ziel.</x:v>
      </x:c>
      <x:c r="F11" s="23" t="str">
        <x:v>UPR FVX</x:v>
      </x:c>
    </x:row>
    <x:row r="12">
      <x:c r="A12" s="21" t="str">
        <x:v>02</x:v>
      </x:c>
      <x:c r="B12" s="22" t="str">
        <x:v>02_external/cfru-upstream/</x:v>
      </x:c>
      <x:c r="C12" s="22" t="str">
        <x:v>Ja/optional submodule</x:v>
      </x:c>
      <x:c r="D12" s="22" t="str">
        <x:v>CFRU Upstream Referenz</x:v>
      </x:c>
      <x:c r="E12" s="22" t="str">
        <x:v>Read-only.</x:v>
      </x:c>
      <x:c r="F12" s="23" t="str">
        <x:v>Skeli789 CFRU</x:v>
      </x:c>
    </x:row>
    <x:row r="13">
      <x:c r="A13" s="21" t="str">
        <x:v>02</x:v>
      </x:c>
      <x:c r="B13" s="22" t="str">
        <x:v>02_external/dpe-upstream/</x:v>
      </x:c>
      <x:c r="C13" s="22" t="str">
        <x:v>Ja/optional submodule</x:v>
      </x:c>
      <x:c r="D13" s="22" t="str">
        <x:v>DPE Upstream Referenz</x:v>
      </x:c>
      <x:c r="E13" s="22" t="str">
        <x:v>Read-only.</x:v>
      </x:c>
      <x:c r="F13" s="23" t="str">
        <x:v>Skeli789 DPE</x:v>
      </x:c>
    </x:row>
    <x:row r="14">
      <x:c r="A14" s="21" t="str">
        <x:v>02</x:v>
      </x:c>
      <x:c r="B14" s="22" t="str">
        <x:v>02_external/cyan-natdex-extension/</x:v>
      </x:c>
      <x:c r="C14" s="22" t="str">
        <x:v>Ja/optional submodule</x:v>
      </x:c>
      <x:c r="D14" s="22" t="str">
        <x:v>Ironmon/NatDex Referenz</x:v>
      </x:c>
      <x:c r="E14" s="22" t="str">
        <x:v>Read-only; nur Diffs/Ideen.</x:v>
      </x:c>
      <x:c r="F14" s="23" t="str">
        <x:v>NatDexExtension</x:v>
      </x:c>
    </x:row>
    <x:row r="15">
      <x:c r="A15" s="21" t="str">
        <x:v>02</x:v>
      </x:c>
      <x:c r="B15" s="22" t="str">
        <x:v>02_external/cyan-upr-zx-natdex/</x:v>
      </x:c>
      <x:c r="C15" s="22" t="str">
        <x:v>Ja/optional submodule</x:v>
      </x:c>
      <x:c r="D15" s="22" t="str">
        <x:v>NatDex Randomizer Referenz</x:v>
      </x:c>
      <x:c r="E15" s="22" t="str">
        <x:v>Read-only; kein Hauptziel.</x:v>
      </x:c>
      <x:c r="F15" s="23" t="str">
        <x:v>Cyan UPR ZX natdex</x:v>
      </x:c>
    </x:row>
    <x:row r="16">
      <x:c r="A16" s="21" t="str">
        <x:v>02</x:v>
      </x:c>
      <x:c r="B16" s="22" t="str">
        <x:v>02_external/cyan-pokefirered-natdex/</x:v>
      </x:c>
      <x:c r="C16" s="22" t="str">
        <x:v>Ja/optional submodule</x:v>
      </x:c>
      <x:c r="D16" s="22" t="str">
        <x:v>ROM-Layout Referenz</x:v>
      </x:c>
      <x:c r="E16" s="22" t="str">
        <x:v>Read-only.</x:v>
      </x:c>
      <x:c r="F16" s="23" t="str">
        <x:v>Cyan pokefirered natdex</x:v>
      </x:c>
    </x:row>
    <x:row r="17">
      <x:c r="A17" s="21" t="str">
        <x:v>02</x:v>
      </x:c>
      <x:c r="B17" s="22" t="str">
        <x:v>02_external/ironmon-tracker/</x:v>
      </x:c>
      <x:c r="C17" s="22" t="str">
        <x:v>Ja/optional submodule</x:v>
      </x:c>
      <x:c r="D17" s="22" t="str">
        <x:v>Tracker Source/Docs</x:v>
      </x:c>
      <x:c r="E17" s="22" t="str">
        <x:v>Erst Vanilla baseline.</x:v>
      </x:c>
      <x:c r="F17" s="23" t="str">
        <x:v>Ironmon Tracker</x:v>
      </x:c>
    </x:row>
    <x:row r="18">
      <x:c r="A18" s="21" t="str">
        <x:v>03</x:v>
      </x:c>
      <x:c r="B18" s="22" t="str">
        <x:v>03_tools/releases/</x:v>
      </x:c>
      <x:c r="C18" s="22" t="str">
        <x:v>Nein</x:v>
      </x:c>
      <x:c r="D18" s="22" t="str">
        <x:v>Tool-ZIPs/Releases</x:v>
      </x:c>
      <x:c r="E18" s="22" t="str">
        <x:v>Downloads nicht ins Git; manifestieren.</x:v>
      </x:c>
      <x:c r="F18" s="23" t="str">
        <x:v>HMA/FVX/BizHawk Releases</x:v>
      </x:c>
    </x:row>
    <x:row r="19">
      <x:c r="A19" s="21" t="str">
        <x:v>04</x:v>
      </x:c>
      <x:c r="B19" s="22" t="str">
        <x:v>04_private_roms/</x:v>
      </x:c>
      <x:c r="C19" s="22" t="str">
        <x:v>Nein</x:v>
      </x:c>
      <x:c r="D19" s="22" t="str">
        <x:v>Private ROMs/Saves</x:v>
      </x:c>
      <x:c r="E19" s="22" t="str">
        <x:v>Muss ignoriert sein; nie hochladen.</x:v>
      </x:c>
      <x:c r="F19" s="23" t="str">
        <x:v>BPRE0.gba, .sav</x:v>
      </x:c>
    </x:row>
    <x:row r="20">
      <x:c r="A20" s="21" t="str">
        <x:v>05</x:v>
      </x:c>
      <x:c r="B20" s="22" t="str">
        <x:v>05_builds/</x:v>
      </x:c>
      <x:c r="C20" s="22" t="str">
        <x:v>Nein</x:v>
      </x:c>
      <x:c r="D20" s="22" t="str">
        <x:v>Buildausgaben</x:v>
      </x:c>
      <x:c r="E20" s="22" t="str">
        <x:v>Immer ignorieren.</x:v>
      </x:c>
      <x:c r="F20" s="23" t="str">
        <x:v>test.gba, randomized.gba</x:v>
      </x:c>
    </x:row>
    <x:row r="21">
      <x:c r="A21" s="21" t="str">
        <x:v>06</x:v>
      </x:c>
      <x:c r="B21" s="22" t="str">
        <x:v>06_patches/</x:v>
      </x:c>
      <x:c r="C21" s="22" t="str">
        <x:v>Ja, nach Review</x:v>
      </x:c>
      <x:c r="D21" s="22" t="str">
        <x:v>Patches statt ROMs</x:v>
      </x:c>
      <x:c r="E21" s="22" t="str">
        <x:v>Nur .ips/.ups/.bps nach Review.</x:v>
      </x:c>
      <x:c r="F21" s="23" t="str">
        <x:v>first-gen9-test.ups</x:v>
      </x:c>
    </x:row>
    <x:row r="22">
      <x:c r="A22" s="21" t="str">
        <x:v>07</x:v>
      </x:c>
      <x:c r="B22" s="22" t="str">
        <x:v>07_scripts/build/</x:v>
      </x:c>
      <x:c r="C22" s="22" t="str">
        <x:v>Ja</x:v>
      </x:c>
      <x:c r="D22" s="22" t="str">
        <x:v>Build Wrapper</x:v>
      </x:c>
      <x:c r="E22" s="22" t="str">
        <x:v>ROM_PATH env var; keine privaten Pfade.</x:v>
      </x:c>
      <x:c r="F22" s="23" t="str">
        <x:v>build_cfru.ps1, build_dpe.sh</x:v>
      </x:c>
    </x:row>
    <x:row r="23">
      <x:c r="A23" s="24" t="str">
        <x:v>08</x:v>
      </x:c>
      <x:c r="B23" s="25" t="str">
        <x:v>08_tests/</x:v>
      </x:c>
      <x:c r="C23" s="25" t="str">
        <x:v>Ja</x:v>
      </x:c>
      <x:c r="D23" s="25" t="str">
        <x:v>Testprotokolle ohne ROM</x:v>
      </x:c>
      <x:c r="E23" s="25" t="str">
        <x:v>Logs/Markdown/Screens ohne private Daten.</x:v>
      </x:c>
      <x:c r="F23" s="26" t="str">
        <x:v>smoke.md, randomizer logs</x:v>
      </x:c>
    </x:row>
    <x:row r="24">
      <x:c r="A24" s="16" t="str">
        <x:v>09</x:v>
      </x:c>
      <x:c r="B24" s="16" t="str">
        <x:v>09_release/</x:v>
      </x:c>
      <x:c r="C24" s="16" t="str">
        <x:v>Ja, nach Review</x:v>
      </x:c>
      <x:c r="D24" s="16" t="str">
        <x:v>Release-Paket</x:v>
      </x:c>
      <x:c r="E24" s="16" t="str">
        <x:v>Nur Patch/README/Credits/Manifest; keine ROMs.</x:v>
      </x:c>
      <x:c r="F24" s="16" t="str">
        <x:v>v0.1/README.md, patch.ups</x:v>
      </x:c>
    </x:row>
  </x:sheetData>
  <x:pageMargins left="0.7" right="0.7" top="0.75" bottom="0.75" header="0.3" footer="0.3"/>
  <x:tableParts count="1">
    <x:tablePart xmlns:r="http://schemas.openxmlformats.org/officeDocument/2006/relationships" r:id="R24e1ab44aab04fa0"/>
  </x:tableParts>
</x:worksheet>
</file>

<file path=xl/worksheets/sheet11.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34" hidden="0" customWidth="1"/>
    <x:col min="5" max="5" width="36" hidden="0" customWidth="1"/>
    <x:col min="6" max="6" width="16" hidden="0" customWidth="1"/>
    <x:col min="7" max="7" width="36" hidden="0" customWidth="1"/>
    <x:col min="8" max="8" width="34" hidden="0" customWidth="1"/>
  </x:cols>
  <x:sheetData>
    <x:row r="1" ht="24" customHeight="1">
      <x:c r="A1" s="144" t="str">
        <x:v>Test-ID</x:v>
      </x:c>
      <x:c r="B1" s="145" t="str">
        <x:v>Bereich</x:v>
      </x:c>
      <x:c r="C1" s="145" t="str">
        <x:v>Input</x:v>
      </x:c>
      <x:c r="D1" s="145" t="str">
        <x:v>Tool / Befehl</x:v>
      </x:c>
      <x:c r="E1" s="145" t="str">
        <x:v>Erwartetes Ergebnis</x:v>
      </x:c>
      <x:c r="F1" s="145" t="str">
        <x:v>Status</x:v>
      </x:c>
      <x:c r="G1" s="145" t="str">
        <x:v>Nachweis</x:v>
      </x:c>
      <x:c r="H1" s="146" t="str">
        <x:v>Notizen</x:v>
      </x:c>
    </x:row>
    <x:row r="2">
      <x:c r="A2" s="21" t="str">
        <x:v>T00</x:v>
      </x:c>
      <x:c r="B2" s="22" t="str">
        <x:v>Agent</x:v>
      </x:c>
      <x:c r="C2" s="22" t="str">
        <x:v>AGENTS.md</x:v>
      </x:c>
      <x:c r="D2" s="22" t="str">
        <x:v>codex: Regeln zusammenfassen, keine Dateiänderung</x:v>
      </x:c>
      <x:c r="E2" s="22" t="str">
        <x:v>Codex erkennt Scope/No-ROM/Outputformat</x:v>
      </x:c>
      <x:c r="F2" s="22" t="str">
        <x:v>Als Nächstes</x:v>
      </x:c>
      <x:c r="G2" s="22" t="str">
        <x:v>08_tests/setup/codex-dry-run.md</x:v>
      </x:c>
      <x:c r="H2" s="23" t="str">
        <x:v>Vor jedem echten Codex-Task</x:v>
      </x:c>
    </x:row>
    <x:row r="3">
      <x:c r="A3" s="21" t="str">
        <x:v>T01</x:v>
      </x:c>
      <x:c r="B3" s="22" t="str">
        <x:v>Toolchain</x:v>
      </x:c>
      <x:c r="C3" s="22" t="str">
        <x:v>devkitPro/devkitARM + Python</x:v>
      </x:c>
      <x:c r="D3" s="22" t="str">
        <x:v>Versionen prüfen; dry-run</x:v>
      </x:c>
      <x:c r="E3" s="22" t="str">
        <x:v>Toolchain erreichbar; Pfade dokumentiert</x:v>
      </x:c>
      <x:c r="F3" s="22" t="str">
        <x:v>Noch offen</x:v>
      </x:c>
      <x:c r="G3" s="22" t="str">
        <x:v>08_tests/setup/toolchain.md</x:v>
      </x:c>
      <x:c r="H3" s="23" t="str">
        <x:v>Vor ROM-Build</x:v>
      </x:c>
    </x:row>
    <x:row r="4">
      <x:c r="A4" s="21" t="str">
        <x:v>T02</x:v>
      </x:c>
      <x:c r="B4" s="22" t="str">
        <x:v>Build</x:v>
      </x:c>
      <x:c r="C4" s="22" t="str">
        <x:v>Clean FireRed BPRE</x:v>
      </x:c>
      <x:c r="D4" s="22" t="str">
        <x:v>CFRU upstream make.py</x:v>
      </x:c>
      <x:c r="E4" s="22" t="str">
        <x:v>test.gba + offsets.ini; BizHawk bootet</x:v>
      </x:c>
      <x:c r="F4" s="22" t="str">
        <x:v>Noch offen</x:v>
      </x:c>
      <x:c r="G4" s="22" t="str">
        <x:v>08_tests/build/cfru-upstream.md</x:v>
      </x:c>
      <x:c r="H4" s="23" t="str">
        <x:v>Kontrolltest</x:v>
      </x:c>
    </x:row>
    <x:row r="5">
      <x:c r="A5" s="21" t="str">
        <x:v>T03</x:v>
      </x:c>
      <x:c r="B5" s="22" t="str">
        <x:v>Build</x:v>
      </x:c>
      <x:c r="C5" s="22" t="str">
        <x:v>Clean FireRed BPRE</x:v>
      </x:c>
      <x:c r="D5" s="22" t="str">
        <x:v>DPE Gen9 make.py</x:v>
      </x:c>
      <x:c r="E5" s="22" t="str">
        <x:v>test.gba + offsets.ini oder reproduzierbarer Fail</x:v>
      </x:c>
      <x:c r="F5" s="22" t="str">
        <x:v>Noch offen</x:v>
      </x:c>
      <x:c r="G5" s="22" t="str">
        <x:v>08_tests/build/dpe-gen9.md</x:v>
      </x:c>
      <x:c r="H5" s="23" t="str">
        <x:v>Vor CFRU nach DPE-Reihenfolge prüfen</x:v>
      </x:c>
    </x:row>
    <x:row r="6">
      <x:c r="A6" s="21" t="str">
        <x:v>T04</x:v>
      </x:c>
      <x:c r="B6" s="22" t="str">
        <x:v>Build</x:v>
      </x:c>
      <x:c r="C6" s="22" t="str">
        <x:v>DPE Gen9 ROM</x:v>
      </x:c>
      <x:c r="D6" s="22" t="str">
        <x:v>CFRU Gen9 make.py/a_makepy.bat</x:v>
      </x:c>
      <x:c r="E6" s="22" t="str">
        <x:v>Custom Gen9 ROM bootet</x:v>
      </x:c>
      <x:c r="F6" s="22" t="str">
        <x:v>Noch offen</x:v>
      </x:c>
      <x:c r="G6" s="22" t="str">
        <x:v>08_tests/build/cfru-gen9.md</x:v>
      </x:c>
      <x:c r="H6" s="23" t="str">
        <x:v>Commit-pinned</x:v>
      </x:c>
    </x:row>
    <x:row r="7">
      <x:c r="A7" s="21" t="str">
        <x:v>T05</x:v>
      </x:c>
      <x:c r="B7" s="22" t="str">
        <x:v>HMA</x:v>
      </x:c>
      <x:c r="C7" s="22" t="str">
        <x:v>Custom Gen9 ROM</x:v>
      </x:c>
      <x:c r="D7" s="22" t="str">
        <x:v>HMA open read-only</x:v>
      </x:c>
      <x:c r="E7" s="22" t="str">
        <x:v>Pokedex/Moves/Trainers plausibel lesbar</x:v>
      </x:c>
      <x:c r="F7" s="22" t="str">
        <x:v>Noch offen</x:v>
      </x:c>
      <x:c r="G7" s="22" t="str">
        <x:v>08_tests/hma/custom-rom-read.md</x:v>
      </x:c>
      <x:c r="H7" s="23" t="str">
        <x:v>Backup vorher</x:v>
      </x:c>
    </x:row>
    <x:row r="8">
      <x:c r="A8" s="21" t="str">
        <x:v>T06</x:v>
      </x:c>
      <x:c r="B8" s="22" t="str">
        <x:v>Randomizer</x:v>
      </x:c>
      <x:c r="C8" s="22" t="str">
        <x:v>Vanilla FireRed</x:v>
      </x:c>
      <x:c r="D8" s="22" t="str">
        <x:v>UPR FVX minimal</x:v>
      </x:c>
      <x:c r="E8" s="22" t="str">
        <x:v>Randomized ROM bootet; seed/log vorhanden</x:v>
      </x:c>
      <x:c r="F8" s="22" t="str">
        <x:v>Noch offen</x:v>
      </x:c>
      <x:c r="G8" s="22" t="str">
        <x:v>08_tests/randomizer/fvx-vanilla.md</x:v>
      </x:c>
      <x:c r="H8" s="23" t="str">
        <x:v>Kontrolltest</x:v>
      </x:c>
    </x:row>
    <x:row r="9">
      <x:c r="A9" s="21" t="str">
        <x:v>T07</x:v>
      </x:c>
      <x:c r="B9" s="22" t="str">
        <x:v>Randomizer</x:v>
      </x:c>
      <x:c r="C9" s="22" t="str">
        <x:v>Custom Gen9 ROM</x:v>
      </x:c>
      <x:c r="D9" s="22" t="str">
        <x:v>UPR FVX minimal</x:v>
      </x:c>
      <x:c r="E9" s="22" t="str">
        <x:v>Kein Crash oder reproduzierbarer Stacktrace</x:v>
      </x:c>
      <x:c r="F9" s="22" t="str">
        <x:v>Noch offen</x:v>
      </x:c>
      <x:c r="G9" s="22" t="str">
        <x:v>08_tests/randomizer/fvx-custom-minimal.md</x:v>
      </x:c>
      <x:c r="H9" s="23" t="str">
        <x:v>Nicht alle Optionen gleichzeitig</x:v>
      </x:c>
    </x:row>
    <x:row r="10">
      <x:c r="A10" s="21" t="str">
        <x:v>T08</x:v>
      </x:c>
      <x:c r="B10" s="22" t="str">
        <x:v>Randomizer</x:v>
      </x:c>
      <x:c r="C10" s="22" t="str">
        <x:v>Custom Gen9 ROM</x:v>
      </x:c>
      <x:c r="D10" s="22" t="str">
        <x:v>Species/counts</x:v>
      </x:c>
      <x:c r="E10" s="22" t="str">
        <x:v>Species-Limits/Forms plausibel</x:v>
      </x:c>
      <x:c r="F10" s="22" t="str">
        <x:v>Noch offen</x:v>
      </x:c>
      <x:c r="G10" s="22" t="str">
        <x:v>08_tests/randomizer/species-counts.md</x:v>
      </x:c>
      <x:c r="H10" s="23" t="str">
        <x:v>Kern für Gen9</x:v>
      </x:c>
    </x:row>
    <x:row r="11">
      <x:c r="A11" s="21" t="str">
        <x:v>T09</x:v>
      </x:c>
      <x:c r="B11" s="22" t="str">
        <x:v>Randomizer</x:v>
      </x:c>
      <x:c r="C11" s="22" t="str">
        <x:v>Custom Gen9 ROM</x:v>
      </x:c>
      <x:c r="D11" s="22" t="str">
        <x:v>Wild encounters only</x:v>
      </x:c>
      <x:c r="E11" s="22" t="str">
        <x:v>Wild randomization korrekt/bootfähig</x:v>
      </x:c>
      <x:c r="F11" s="22" t="str">
        <x:v>Noch offen</x:v>
      </x:c>
      <x:c r="G11" s="22" t="str">
        <x:v>08_tests/randomizer/wild.md</x:v>
      </x:c>
      <x:c r="H11" s="23" t="str">
        <x:v>Feature-by-feature</x:v>
      </x:c>
    </x:row>
    <x:row r="12">
      <x:c r="A12" s="21" t="str">
        <x:v>T10</x:v>
      </x:c>
      <x:c r="B12" s="22" t="str">
        <x:v>Randomizer</x:v>
      </x:c>
      <x:c r="C12" s="22" t="str">
        <x:v>Custom Gen9 ROM</x:v>
      </x:c>
      <x:c r="D12" s="22" t="str">
        <x:v>Trainer Pokémon only</x:v>
      </x:c>
      <x:c r="E12" s="22" t="str">
        <x:v>Trainer randomization korrekt/bootfähig</x:v>
      </x:c>
      <x:c r="F12" s="22" t="str">
        <x:v>Noch offen</x:v>
      </x:c>
      <x:c r="G12" s="22" t="str">
        <x:v>08_tests/randomizer/trainers.md</x:v>
      </x:c>
      <x:c r="H12" s="23" t="str">
        <x:v>Trainer table risks</x:v>
      </x:c>
    </x:row>
    <x:row r="13">
      <x:c r="A13" s="21" t="str">
        <x:v>T11</x:v>
      </x:c>
      <x:c r="B13" s="22" t="str">
        <x:v>Randomizer</x:v>
      </x:c>
      <x:c r="C13" s="22" t="str">
        <x:v>Custom Gen9 ROM</x:v>
      </x:c>
      <x:c r="D13" s="22" t="str">
        <x:v>Moves/Abilities/Items only</x:v>
      </x:c>
      <x:c r="E13" s="22" t="str">
        <x:v>Keine invaliden Tabellenzugriffe</x:v>
      </x:c>
      <x:c r="F13" s="22" t="str">
        <x:v>Noch offen</x:v>
      </x:c>
      <x:c r="G13" s="22" t="str">
        <x:v>08_tests/randomizer/deep-features.md</x:v>
      </x:c>
      <x:c r="H13" s="23" t="str">
        <x:v>Höchstes Risiko</x:v>
      </x:c>
    </x:row>
    <x:row r="14">
      <x:c r="A14" s="21" t="str">
        <x:v>T12</x:v>
      </x:c>
      <x:c r="B14" s="22" t="str">
        <x:v>Randomizer</x:v>
      </x:c>
      <x:c r="C14" s="22" t="str">
        <x:v>Custom Gen9 ROM</x:v>
      </x:c>
      <x:c r="D14" s="22" t="str">
        <x:v>Forms/Evolutions/Learnsets</x:v>
      </x:c>
      <x:c r="E14" s="22" t="str">
        <x:v>Pass oder Einschränkung dokumentiert</x:v>
      </x:c>
      <x:c r="F14" s="22" t="str">
        <x:v>Noch offen</x:v>
      </x:c>
      <x:c r="G14" s="22" t="str">
        <x:v>08_tests/randomizer/forms-evolutions-learnsets.md</x:v>
      </x:c>
      <x:c r="H14" s="23" t="str">
        <x:v>Gen9 Forms risk</x:v>
      </x:c>
    </x:row>
    <x:row r="15">
      <x:c r="A15" s="21" t="str">
        <x:v>T13</x:v>
      </x:c>
      <x:c r="B15" s="22" t="str">
        <x:v>Referenzdiff</x:v>
      </x:c>
      <x:c r="C15" s="22" t="str">
        <x:v>Cyan UPR ZX natdex vs FVX/ZX</x:v>
      </x:c>
      <x:c r="D15" s="22" t="str">
        <x:v>Diff lesen</x:v>
      </x:c>
      <x:c r="E15" s="22" t="str">
        <x:v>Übertragbare Anpassungen dokumentiert</x:v>
      </x:c>
      <x:c r="F15" s="22" t="str">
        <x:v>Noch offen</x:v>
      </x:c>
      <x:c r="G15" s="22" t="str">
        <x:v>08_tests/randomizer/cyan-diff.md</x:v>
      </x:c>
      <x:c r="H15" s="23" t="str">
        <x:v>Analyse ohne Codeübernahme</x:v>
      </x:c>
    </x:row>
    <x:row r="16">
      <x:c r="A16" s="21" t="str">
        <x:v>T14</x:v>
      </x:c>
      <x:c r="B16" s="22" t="str">
        <x:v>BizHawk</x:v>
      </x:c>
      <x:c r="C16" s="22" t="str">
        <x:v>Vanilla FireRed</x:v>
      </x:c>
      <x:c r="D16" s="22" t="str">
        <x:v>BizHawk + Ironmon Tracker</x:v>
      </x:c>
      <x:c r="E16" s="22" t="str">
        <x:v>Tracker zeigt Daten korrekt</x:v>
      </x:c>
      <x:c r="F16" s="22" t="str">
        <x:v>Noch offen</x:v>
      </x:c>
      <x:c r="G16" s="22" t="str">
        <x:v>08_tests/ironmon/vanilla.md</x:v>
      </x:c>
      <x:c r="H16" s="23" t="str">
        <x:v>Baseline</x:v>
      </x:c>
    </x:row>
    <x:row r="17">
      <x:c r="A17" s="21" t="str">
        <x:v>T15</x:v>
      </x:c>
      <x:c r="B17" s="22" t="str">
        <x:v>BizHawk</x:v>
      </x:c>
      <x:c r="C17" s="22" t="str">
        <x:v>Custom Gen9 ROM</x:v>
      </x:c>
      <x:c r="D17" s="22" t="str">
        <x:v>BizHawk boot + gameplay</x:v>
      </x:c>
      <x:c r="E17" s="22" t="str">
        <x:v>Title, wild, trainer, save/load</x:v>
      </x:c>
      <x:c r="F17" s="22" t="str">
        <x:v>Noch offen</x:v>
      </x:c>
      <x:c r="G17" s="22" t="str">
        <x:v>08_tests/smoke/custom-bizhawk.md</x:v>
      </x:c>
      <x:c r="H17" s="23" t="str">
        <x:v>Smoke</x:v>
      </x:c>
    </x:row>
    <x:row r="18">
      <x:c r="A18" s="21" t="str">
        <x:v>T16</x:v>
      </x:c>
      <x:c r="B18" s="22" t="str">
        <x:v>Ironmon</x:v>
      </x:c>
      <x:c r="C18" s="22" t="str">
        <x:v>Custom Gen9 ROM</x:v>
      </x:c>
      <x:c r="D18" s="22" t="str">
        <x:v>Ironmon Tracker Lua</x:v>
      </x:c>
      <x:c r="E18" s="22" t="str">
        <x:v>Kein Crash; falsche Anzeigen dokumentiert</x:v>
      </x:c>
      <x:c r="F18" s="22" t="str">
        <x:v>Noch offen</x:v>
      </x:c>
      <x:c r="G18" s="22" t="str">
        <x:v>08_tests/ironmon/custom-smoke.md</x:v>
      </x:c>
      <x:c r="H18" s="23" t="str">
        <x:v>Extension später</x:v>
      </x:c>
    </x:row>
    <x:row r="19">
      <x:c r="A19" s="21" t="str">
        <x:v>T17</x:v>
      </x:c>
      <x:c r="B19" s="22" t="str">
        <x:v>Ironmon</x:v>
      </x:c>
      <x:c r="C19" s="22" t="str">
        <x:v>Cyan NatDexExtension</x:v>
      </x:c>
      <x:c r="D19" s="22" t="str">
        <x:v>Extension Installationsweg prüfen</x:v>
      </x:c>
      <x:c r="E19" s="22" t="str">
        <x:v>Übertragbarkeit bewertet</x:v>
      </x:c>
      <x:c r="F19" s="22" t="str">
        <x:v>Noch offen</x:v>
      </x:c>
      <x:c r="G19" s="22" t="str">
        <x:v>08_tests/ironmon/cyan-extension.md</x:v>
      </x:c>
      <x:c r="H19" s="23" t="str">
        <x:v>Später interessant</x:v>
      </x:c>
    </x:row>
    <x:row r="20">
      <x:c r="A20" s="21" t="str">
        <x:v>T18</x:v>
      </x:c>
      <x:c r="B20" s="22" t="str">
        <x:v>Ironmon</x:v>
      </x:c>
      <x:c r="C20" s="22" t="str">
        <x:v>Custom + UPR ROM</x:v>
      </x:c>
      <x:c r="D20" s="22" t="str">
        <x:v>Tracker + randomized gameplay</x:v>
      </x:c>
      <x:c r="E20" s="22" t="str">
        <x:v>Tracker stabil bei Randomizer-ROM</x:v>
      </x:c>
      <x:c r="F20" s="22" t="str">
        <x:v>Noch offen</x:v>
      </x:c>
      <x:c r="G20" s="22" t="str">
        <x:v>08_tests/ironmon/randomized-custom.md</x:v>
      </x:c>
      <x:c r="H20" s="23" t="str">
        <x:v>End-to-end</x:v>
      </x:c>
    </x:row>
    <x:row r="21">
      <x:c r="A21" s="21" t="str">
        <x:v>T19</x:v>
      </x:c>
      <x:c r="B21" s="22" t="str">
        <x:v>Repro</x:v>
      </x:c>
      <x:c r="C21" s="22" t="str">
        <x:v>Custom + seed/settings</x:v>
      </x:c>
      <x:c r="D21" s="22" t="str">
        <x:v>2x UPR FVX gleicher Seed</x:v>
      </x:c>
      <x:c r="E21" s="22" t="str">
        <x:v>Identischer Output oder dokumentierte Abweichung</x:v>
      </x:c>
      <x:c r="F21" s="22" t="str">
        <x:v>Noch offen</x:v>
      </x:c>
      <x:c r="G21" s="22" t="str">
        <x:v>08_tests/randomizer/reproducibility.md</x:v>
      </x:c>
      <x:c r="H21" s="23" t="str">
        <x:v>Racing/Ironmon relevant</x:v>
      </x:c>
    </x:row>
    <x:row r="22">
      <x:c r="A22" s="24" t="str">
        <x:v>T20</x:v>
      </x:c>
      <x:c r="B22" s="25" t="str">
        <x:v>Release</x:v>
      </x:c>
      <x:c r="C22" s="25" t="str">
        <x:v>Patch package</x:v>
      </x:c>
      <x:c r="D22" s="25" t="str">
        <x:v>Patch auf Clean ROM anwenden</x:v>
      </x:c>
      <x:c r="E22" s="25" t="str">
        <x:v>Rekonstruiert Build; keine ROM im Paket</x:v>
      </x:c>
      <x:c r="F22" s="25" t="str">
        <x:v>Noch offen</x:v>
      </x:c>
      <x:c r="G22" s="25" t="str">
        <x:v>08_tests/release/patch-apply.md</x:v>
      </x:c>
      <x:c r="H22" s="26" t="str">
        <x:v>Final criteria</x:v>
      </x:c>
    </x:row>
  </x:sheetData>
  <x:dataValidations count="1">
    <x:dataValidation type="list" sqref="F2:F22">
      <x:formula1>"Noch offen,Als Nächstes,In Arbeit,Review/Test,Warten/Blockiert,Erledigt"</x:formula1>
    </x:dataValidation>
  </x:dataValidations>
  <x:pageMargins left="0.7" right="0.7" top="0.75" bottom="0.75" header="0.3" footer="0.3"/>
  <x:tableParts count="1">
    <x:tablePart xmlns:r="http://schemas.openxmlformats.org/officeDocument/2006/relationships" r:id="Ra16ed33c4ac347aa"/>
  </x:tableParts>
</x:worksheet>
</file>

<file path=xl/worksheets/sheet12.xml><?xml version="1.0" encoding="utf-8"?>
<x:worksheet xmlns:x="http://schemas.openxmlformats.org/spreadsheetml/2006/main">
  <x:sheetFormatPr defaultRowHeight="15"/>
  <x:cols>
    <x:col min="1" max="1" width="14" hidden="0" customWidth="1"/>
    <x:col min="2" max="2" width="28" hidden="0" customWidth="1"/>
    <x:col min="3" max="3" width="110" hidden="0" customWidth="1"/>
  </x:cols>
  <x:sheetData>
    <x:row r="1" ht="24" customHeight="1">
      <x:c r="A1" s="160" t="str">
        <x:v>Typ</x:v>
      </x:c>
      <x:c r="B1" s="161" t="str">
        <x:v>Name</x:v>
      </x:c>
      <x:c r="C1" s="162" t="str">
        <x:v>Template</x:v>
      </x:c>
    </x:row>
    <x:row r="2" ht="48" customHeight="1">
      <x:c r="A2" s="21" t="str">
        <x:v>Codex</x:v>
      </x:c>
      <x:c r="B2" s="22" t="str">
        <x:v>Erster sicherer Dry-Run</x:v>
      </x:c>
      <x:c r="C2" s="23" t="str">
        <x:v>Lies AGENTS.md und Projektdateien im Workspace. Fasse die aktiven Regeln, erlaubten Pfade, verbotenen Pfade, erwartetes Outputformat und den nächsten minimalen Schritt zusammen. Ändere keine Dateien, führe keine Downloads aus und starte keinen Build.</x:v>
      </x:c>
    </x:row>
    <x:row r="3" ht="48" customHeight="1">
      <x:c r="A3" s="21" t="str">
        <x:v>Codex</x:v>
      </x:c>
      <x:c r="B3" s="22" t="str">
        <x:v>Dokument erstellen</x:v>
      </x:c>
      <x:c r="C3" s="23" t="str">
        <x:v>Aufgabe: Erstelle/aktualisiere &lt;DATEI&gt;. Kontext: &lt;KURZKONTEXT&gt;. Erlaubte Dateien: &lt;LISTE&gt;. Verboten: ROMs, Saves, Builds, Tool-ZIPs, externe Downloads, Codeänderungen. Abgabeformat: Summary, geänderte Dateien, Tests/Checks, Risiken/Annahmen, nächster minimaler Schritt.</x:v>
      </x:c>
    </x:row>
    <x:row r="4" ht="48" customHeight="1">
      <x:c r="A4" s="21" t="str">
        <x:v>Codex</x:v>
      </x:c>
      <x:c r="B4" s="22" t="str">
        <x:v>Terminalbefehle prüfen</x:v>
      </x:c>
      <x:c r="C4" s="23" t="str">
        <x:v>Prüfe die folgenden Terminalbefehle auf Sicherheit, Pfade, Git-Tracking-Risiko und ROM-Policy. Gib korrigierte Befehle zurück. Führe nichts aus: &lt;BEFEHLE&gt;.</x:v>
      </x:c>
    </x:row>
    <x:row r="5" ht="48" customHeight="1">
      <x:c r="A5" s="21" t="str">
        <x:v>Codex</x:v>
      </x:c>
      <x:c r="B5" s="22" t="str">
        <x:v>Reference Note</x:v>
      </x:c>
      <x:c r="C5" s="23" t="str">
        <x:v>Erstelle 01_docs/references/&lt;THEMA&gt;.md anhand der vorhandenen Links/Repos. Keine langen Zitate. Jede technische Aussage mit Link/Dateipfad. Markiere Annahmen als offen, belegt oder widerlegt.</x:v>
      </x:c>
    </x:row>
    <x:row r="6" ht="48" customHeight="1">
      <x:c r="A6" s="21" t="str">
        <x:v>Codex</x:v>
      </x:c>
      <x:c r="B6" s="22" t="str">
        <x:v>Build-Log Analyse</x:v>
      </x:c>
      <x:c r="C6" s="23" t="str">
        <x:v>Analysiere diesen Build-Log. Ändere keine Dateien. Ordne Fehler nach Toolchain, ROM-Basis, Pfad, Python/devkitARM, CFRU/DPE-Reihenfolge oder unbekannt. Gib den kleinsten nächsten Test an.</x:v>
      </x:c>
    </x:row>
    <x:row r="7" ht="48" customHeight="1">
      <x:c r="A7" s="21" t="str">
        <x:v>ChatGPT</x:v>
      </x:c>
      <x:c r="B7" s="22" t="str">
        <x:v>Neuer Projektchat Start</x:v>
      </x:c>
      <x:c r="C7" s="23" t="str">
        <x:v>Wir arbeiten in Paket &lt;NR&gt; der Excel-Roadmap. Nutze nur Projektdateien und aktuelle Quellen. Gib terminal-first Befehle, klare Abnahmekriterien, Risiken und den nächsten minimalen Schritt. Keine ROMs, keine Downloads ohne Zweck, keine großen Sprünge.</x:v>
      </x:c>
    </x:row>
    <x:row r="8" ht="48" customHeight="1">
      <x:c r="A8" s="24" t="str">
        <x:v>ChatGPT</x:v>
      </x:c>
      <x:c r="B8" s="25" t="str">
        <x:v>Session Handoff</x:v>
      </x:c>
      <x:c r="C8" s="26" t="str">
        <x:v>Fasse den aktuellen Stand für 01_docs/SESSION_STATE.md und 01_docs/NEXT_STEPS.md zusammen: erledigt, aktive Dateien/Branches, offene Entscheidungen, nächste 3 Schritte, Risiken, Quellen. Schreibe so, dass eine neue Session ohne Chatverlauf starten kann.</x:v>
      </x:c>
    </x:row>
    <x:row r="9" ht="48" customHeight="1"/>
    <x:row r="10" ht="48" customHeight="1"/>
    <x:row r="11" ht="48" customHeight="1"/>
    <x:row r="12" ht="48" customHeight="1"/>
    <x:row r="13" ht="48" customHeight="1"/>
    <x:row r="14" ht="48" customHeight="1"/>
    <x:row r="15" ht="48" customHeight="1"/>
    <x:row r="16" ht="48" customHeight="1"/>
    <x:row r="17" ht="48" customHeight="1"/>
    <x:row r="18" ht="48" customHeight="1"/>
    <x:row r="19" ht="48" customHeight="1"/>
    <x:row r="20" ht="48" customHeight="1"/>
    <x:row r="21" ht="48" customHeight="1"/>
    <x:row r="22" ht="48" customHeight="1"/>
    <x:row r="23" ht="48" customHeight="1"/>
    <x:row r="24" ht="48" customHeight="1"/>
    <x:row r="25" ht="48" customHeight="1"/>
    <x:row r="26" ht="48" customHeight="1"/>
    <x:row r="27" ht="48" customHeight="1"/>
    <x:row r="28" ht="48" customHeight="1"/>
    <x:row r="29" ht="48" customHeight="1"/>
    <x:row r="30" ht="48" customHeight="1"/>
    <x:row r="31" ht="48" customHeight="1"/>
    <x:row r="32" ht="48" customHeight="1"/>
    <x:row r="33" ht="48" customHeight="1"/>
    <x:row r="34" ht="48" customHeight="1"/>
    <x:row r="35" ht="48" customHeight="1"/>
    <x:row r="36" ht="48" customHeight="1"/>
    <x:row r="37" ht="48" customHeight="1"/>
    <x:row r="38" ht="48" customHeight="1"/>
    <x:row r="39" ht="48" customHeight="1"/>
    <x:row r="40" ht="48" customHeight="1"/>
    <x:row r="41" ht="48" customHeight="1"/>
    <x:row r="42" ht="48" customHeight="1"/>
    <x:row r="43" ht="48" customHeight="1"/>
    <x:row r="44" ht="48" customHeight="1"/>
    <x:row r="45" ht="48" customHeight="1"/>
    <x:row r="46" ht="48" customHeight="1"/>
    <x:row r="47" ht="48" customHeight="1"/>
    <x:row r="48" ht="48" customHeight="1"/>
    <x:row r="49" ht="48" customHeight="1"/>
    <x:row r="50" ht="48" customHeight="1"/>
    <x:row r="51" ht="48" customHeight="1"/>
    <x:row r="52" ht="48" customHeight="1"/>
    <x:row r="53" ht="48" customHeight="1"/>
    <x:row r="54" ht="48" customHeight="1"/>
    <x:row r="55" ht="48" customHeight="1"/>
    <x:row r="56" ht="48" customHeight="1"/>
    <x:row r="57" ht="48" customHeight="1"/>
    <x:row r="58" ht="48" customHeight="1"/>
    <x:row r="59" ht="48" customHeight="1"/>
    <x:row r="60" ht="48" customHeight="1"/>
    <x:row r="61" ht="48" customHeight="1"/>
    <x:row r="62" ht="48" customHeight="1"/>
    <x:row r="63" ht="48" customHeight="1"/>
    <x:row r="64" ht="48" customHeight="1"/>
    <x:row r="65" ht="48" customHeight="1"/>
    <x:row r="66" ht="48" customHeight="1"/>
    <x:row r="67" ht="48" customHeight="1"/>
    <x:row r="68" ht="48" customHeight="1"/>
    <x:row r="69" ht="48" customHeight="1"/>
    <x:row r="70" ht="48" customHeight="1"/>
    <x:row r="71" ht="48" customHeight="1"/>
    <x:row r="72" ht="48" customHeight="1"/>
    <x:row r="73" ht="48" customHeight="1"/>
    <x:row r="74" ht="48" customHeight="1"/>
    <x:row r="75" ht="48" customHeight="1"/>
    <x:row r="76" ht="48" customHeight="1"/>
    <x:row r="77" ht="48" customHeight="1"/>
    <x:row r="78" ht="48" customHeight="1"/>
    <x:row r="79" ht="48" customHeight="1"/>
    <x:row r="80" ht="48" customHeight="1"/>
    <x:row r="81" ht="48" customHeight="1"/>
    <x:row r="82" ht="48" customHeight="1"/>
    <x:row r="83" ht="48" customHeight="1"/>
    <x:row r="84" ht="48" customHeight="1"/>
    <x:row r="85" ht="48" customHeight="1"/>
    <x:row r="86" ht="48" customHeight="1"/>
    <x:row r="87" ht="48" customHeight="1"/>
    <x:row r="88" ht="48" customHeight="1"/>
    <x:row r="89" ht="48" customHeight="1"/>
    <x:row r="90" ht="48" customHeight="1"/>
    <x:row r="91" ht="48" customHeight="1"/>
    <x:row r="92" ht="48" customHeight="1"/>
    <x:row r="93" ht="48" customHeight="1"/>
    <x:row r="94" ht="48" customHeight="1"/>
    <x:row r="95" ht="48" customHeight="1"/>
    <x:row r="96" ht="48" customHeight="1"/>
    <x:row r="97" ht="48" customHeight="1"/>
    <x:row r="98" ht="48" customHeight="1"/>
    <x:row r="99" ht="48" customHeight="1"/>
    <x:row r="100" ht="48" customHeight="1"/>
    <x:row r="101" ht="48" customHeight="1"/>
    <x:row r="102" ht="48" customHeight="1"/>
    <x:row r="103" ht="48" customHeight="1"/>
    <x:row r="104" ht="48" customHeight="1"/>
    <x:row r="105" ht="48" customHeight="1"/>
    <x:row r="106" ht="48" customHeight="1"/>
    <x:row r="107" ht="48" customHeight="1"/>
    <x:row r="108" ht="48" customHeight="1"/>
    <x:row r="109" ht="48" customHeight="1"/>
    <x:row r="110" ht="48" customHeight="1"/>
    <x:row r="111" ht="48" customHeight="1"/>
    <x:row r="112" ht="48" customHeight="1"/>
    <x:row r="113" ht="48" customHeight="1"/>
    <x:row r="114" ht="48" customHeight="1"/>
    <x:row r="115" ht="48" customHeight="1"/>
    <x:row r="116" ht="48" customHeight="1"/>
    <x:row r="117" ht="48" customHeight="1"/>
    <x:row r="118" ht="48" customHeight="1"/>
    <x:row r="119" ht="48" customHeight="1"/>
    <x:row r="120" ht="48" customHeight="1"/>
    <x:row r="121" ht="48" customHeight="1"/>
    <x:row r="122" ht="48" customHeight="1"/>
    <x:row r="123" ht="48" customHeight="1"/>
    <x:row r="124" ht="48" customHeight="1"/>
    <x:row r="125" ht="48" customHeight="1"/>
    <x:row r="126" ht="48" customHeight="1"/>
    <x:row r="127" ht="48" customHeight="1"/>
    <x:row r="128" ht="48" customHeight="1"/>
    <x:row r="129" ht="48" customHeight="1"/>
    <x:row r="130" ht="48" customHeight="1"/>
    <x:row r="131" ht="48" customHeight="1"/>
    <x:row r="132" ht="48" customHeight="1"/>
    <x:row r="133" ht="48" customHeight="1"/>
    <x:row r="134" ht="48" customHeight="1"/>
    <x:row r="135" ht="48" customHeight="1"/>
    <x:row r="136" ht="48" customHeight="1"/>
    <x:row r="137" ht="48" customHeight="1"/>
    <x:row r="138" ht="48" customHeight="1"/>
    <x:row r="139" ht="48" customHeight="1"/>
    <x:row r="140" ht="48" customHeight="1"/>
    <x:row r="141" ht="48" customHeight="1"/>
    <x:row r="142" ht="48" customHeight="1"/>
    <x:row r="143" ht="48" customHeight="1"/>
    <x:row r="144" ht="48" customHeight="1"/>
    <x:row r="145" ht="48" customHeight="1"/>
    <x:row r="146" ht="48" customHeight="1"/>
    <x:row r="147" ht="48" customHeight="1"/>
    <x:row r="148" ht="48" customHeight="1"/>
    <x:row r="149" ht="48" customHeight="1"/>
    <x:row r="150" ht="48" customHeight="1"/>
    <x:row r="151" ht="48" customHeight="1"/>
    <x:row r="152" ht="48" customHeight="1"/>
    <x:row r="153" ht="48" customHeight="1"/>
    <x:row r="154" ht="48" customHeight="1"/>
    <x:row r="155" ht="48" customHeight="1"/>
    <x:row r="156" ht="48" customHeight="1"/>
    <x:row r="157" ht="48" customHeight="1"/>
    <x:row r="158" ht="48" customHeight="1"/>
    <x:row r="159" ht="48" customHeight="1"/>
    <x:row r="160" ht="48" customHeight="1"/>
    <x:row r="161" ht="48" customHeight="1"/>
    <x:row r="162" ht="48" customHeight="1"/>
    <x:row r="163" ht="48" customHeight="1"/>
    <x:row r="164" ht="48" customHeight="1"/>
    <x:row r="165" ht="48" customHeight="1"/>
    <x:row r="166" ht="48" customHeight="1"/>
    <x:row r="167" ht="48" customHeight="1"/>
    <x:row r="168" ht="48" customHeight="1"/>
    <x:row r="169" ht="48" customHeight="1"/>
    <x:row r="170" ht="48" customHeight="1"/>
    <x:row r="171" ht="48" customHeight="1"/>
    <x:row r="172" ht="48" customHeight="1"/>
    <x:row r="173" ht="48" customHeight="1"/>
    <x:row r="174" ht="48" customHeight="1"/>
    <x:row r="175" ht="48" customHeight="1"/>
    <x:row r="176" ht="48" customHeight="1"/>
    <x:row r="177" ht="48" customHeight="1"/>
    <x:row r="178" ht="48" customHeight="1"/>
    <x:row r="179" ht="48" customHeight="1"/>
    <x:row r="180" ht="48" customHeight="1"/>
    <x:row r="181" ht="48" customHeight="1"/>
    <x:row r="182" ht="48" customHeight="1"/>
    <x:row r="183" ht="48" customHeight="1"/>
    <x:row r="184" ht="48" customHeight="1"/>
    <x:row r="185" ht="48" customHeight="1"/>
    <x:row r="186" ht="48" customHeight="1"/>
    <x:row r="187" ht="48" customHeight="1"/>
    <x:row r="188" ht="48" customHeight="1"/>
    <x:row r="189" ht="48" customHeight="1"/>
    <x:row r="190" ht="48" customHeight="1"/>
    <x:row r="191" ht="48" customHeight="1"/>
    <x:row r="192" ht="48" customHeight="1"/>
    <x:row r="193" ht="48" customHeight="1"/>
    <x:row r="194" ht="48" customHeight="1"/>
    <x:row r="195" ht="48" customHeight="1"/>
    <x:row r="196" ht="48" customHeight="1"/>
    <x:row r="197" ht="48" customHeight="1"/>
    <x:row r="198" ht="48" customHeight="1"/>
    <x:row r="199" ht="48" customHeight="1"/>
    <x:row r="200" ht="48" customHeight="1"/>
  </x:sheetData>
  <x:pageMargins left="0.7" right="0.7" top="0.75" bottom="0.75" header="0.3" footer="0.3"/>
  <x:tableParts count="1">
    <x:tablePart xmlns:r="http://schemas.openxmlformats.org/officeDocument/2006/relationships" r:id="R8296409910c84db3"/>
  </x:tableParts>
</x:worksheet>
</file>

<file path=xl/worksheets/sheet13.xml><?xml version="1.0" encoding="utf-8"?>
<x:worksheet xmlns:x="http://schemas.openxmlformats.org/spreadsheetml/2006/main">
  <x:sheetFormatPr defaultRowHeight="15"/>
  <x:cols>
    <x:col min="1" max="1" width="34" hidden="0" customWidth="1"/>
    <x:col min="2" max="2" width="24" hidden="0" customWidth="1"/>
    <x:col min="3" max="3" width="72" hidden="0" customWidth="1"/>
    <x:col min="4" max="4" width="50" hidden="0" customWidth="1"/>
    <x:col min="5" max="5" width="18" hidden="0" customWidth="1"/>
  </x:cols>
  <x:sheetData>
    <x:row r="1" ht="24" customHeight="1">
      <x:c r="A1" s="176" t="str">
        <x:v>Name</x:v>
      </x:c>
      <x:c r="B1" s="177" t="str">
        <x:v>Kategorie</x:v>
      </x:c>
      <x:c r="C1" s="177" t="str">
        <x:v>URL</x:v>
      </x:c>
      <x:c r="D1" s="177" t="str">
        <x:v>Wofür relevant</x:v>
      </x:c>
      <x:c r="E1" s="178" t="str">
        <x:v>Abruf-/Planstand</x:v>
      </x:c>
    </x:row>
    <x:row r="2">
      <x:c r="A2" s="21" t="str">
        <x:v>ChatGPT Projects Help</x:v>
      </x:c>
      <x:c r="B2" s="22" t="str">
        <x:v>ChatGPT Projekt</x:v>
      </x:c>
      <x:c r="C2" s="22" t="str">
        <x:v>https://help.openai.com/en/articles/10169521-projects-in-chatgpt</x:v>
      </x:c>
      <x:c r="D2" s="22" t="str">
        <x:v>Projektdateien, Instructions, Kontext, Memory</x:v>
      </x:c>
      <x:c r="E2" s="23" t="str">
        <x:v>2026-05-09</x:v>
      </x:c>
    </x:row>
    <x:row r="3">
      <x:c r="A3" s="21" t="str">
        <x:v>OpenAI Academy Projects</x:v>
      </x:c>
      <x:c r="B3" s="22" t="str">
        <x:v>ChatGPT Projekt</x:v>
      </x:c>
      <x:c r="C3" s="22" t="str">
        <x:v>https://openai.com/academy/projects/</x:v>
      </x:c>
      <x:c r="D3" s="22" t="str">
        <x:v>Projektorganisation, längerfristige Arbeit</x:v>
      </x:c>
      <x:c r="E3" s="23" t="str">
        <x:v>2026-05-09</x:v>
      </x:c>
    </x:row>
    <x:row r="4">
      <x:c r="A4" s="21" t="str">
        <x:v>Codex CLI</x:v>
      </x:c>
      <x:c r="B4" s="22" t="str">
        <x:v>Agent</x:v>
      </x:c>
      <x:c r="C4" s="22" t="str">
        <x:v>https://developers.openai.com/codex/cli</x:v>
      </x:c>
      <x:c r="D4" s="22" t="str">
        <x:v>Codex lokal im Terminal, Dateien/Commands</x:v>
      </x:c>
      <x:c r="E4" s="23" t="str">
        <x:v>2026-05-09</x:v>
      </x:c>
    </x:row>
    <x:row r="5">
      <x:c r="A5" s="21" t="str">
        <x:v>Codex AGENTS.md</x:v>
      </x:c>
      <x:c r="B5" s="22" t="str">
        <x:v>Agent</x:v>
      </x:c>
      <x:c r="C5" s="22" t="str">
        <x:v>https://developers.openai.com/codex/guides/agents-md</x:v>
      </x:c>
      <x:c r="D5" s="22" t="str">
        <x:v>Projekt- und globale Agentenanweisungen</x:v>
      </x:c>
      <x:c r="E5" s="23" t="str">
        <x:v>2026-05-09</x:v>
      </x:c>
    </x:row>
    <x:row r="6">
      <x:c r="A6" s="21" t="str">
        <x:v>Codex Customization</x:v>
      </x:c>
      <x:c r="B6" s="22" t="str">
        <x:v>Agent</x:v>
      </x:c>
      <x:c r="C6" s="22" t="str">
        <x:v>https://developers.openai.com/codex/concepts/customization</x:v>
      </x:c>
      <x:c r="D6" s="22" t="str">
        <x:v>AGENTS.md, Skills, MCP, Handoff-Idee</x:v>
      </x:c>
      <x:c r="E6" s="23" t="str">
        <x:v>2026-05-09</x:v>
      </x:c>
    </x:row>
    <x:row r="7">
      <x:c r="A7" s="21" t="str">
        <x:v>Codex MCP</x:v>
      </x:c>
      <x:c r="B7" s="22" t="str">
        <x:v>Agent/MCP</x:v>
      </x:c>
      <x:c r="C7" s="22" t="str">
        <x:v>https://developers.openai.com/codex/mcp</x:v>
      </x:c>
      <x:c r="D7" s="22" t="str">
        <x:v>MCP für Tools/Kontext</x:v>
      </x:c>
      <x:c r="E7" s="23" t="str">
        <x:v>2026-05-09</x:v>
      </x:c>
    </x:row>
    <x:row r="8">
      <x:c r="A8" s="21" t="str">
        <x:v>GitHub MCP Server</x:v>
      </x:c>
      <x:c r="B8" s="22" t="str">
        <x:v>MCP</x:v>
      </x:c>
      <x:c r="C8" s="22" t="str">
        <x:v>https://github.com/github/github-mcp-server</x:v>
      </x:c>
      <x:c r="D8" s="22" t="str">
        <x:v>GitHub Tooling über MCP</x:v>
      </x:c>
      <x:c r="E8" s="23" t="str">
        <x:v>2026-05-09</x:v>
      </x:c>
    </x:row>
    <x:row r="9">
      <x:c r="A9" s="21" t="str">
        <x:v>Shiny-Miner CFRU-expansion</x:v>
      </x:c>
      <x:c r="B9" s="22" t="str">
        <x:v>Gen9 CFRU</x:v>
      </x:c>
      <x:c r="C9" s="22" t="str">
        <x:v>https://github.com/Shiny-Miner/CFRU-expansion</x:v>
      </x:c>
      <x:c r="D9" s="22" t="str">
        <x:v>Primärer Gen9-CFRU-Kandidat</x:v>
      </x:c>
      <x:c r="E9" s="23" t="str">
        <x:v>2026-05-09</x:v>
      </x:c>
    </x:row>
    <x:row r="10">
      <x:c r="A10" s="21" t="str">
        <x:v>Shiny-Miner DPE Gen9</x:v>
      </x:c>
      <x:c r="B10" s="22" t="str">
        <x:v>Gen9 DPE</x:v>
      </x:c>
      <x:c r="C10" s="22" t="str">
        <x:v>https://github.com/Shiny-Miner/Dynamic-Pokemon-Expansion-Gen-9</x:v>
      </x:c>
      <x:c r="D10" s="22" t="str">
        <x:v>Primärer DPE-Gen9-Kandidat</x:v>
      </x:c>
      <x:c r="E10" s="23" t="str">
        <x:v>2026-05-09</x:v>
      </x:c>
    </x:row>
    <x:row r="11">
      <x:c r="A11" s="21" t="str">
        <x:v>Shiny-Miner FR Gen9 resources</x:v>
      </x:c>
      <x:c r="B11" s="22" t="str">
        <x:v>Gen9 Assets/Referenz</x:v>
      </x:c>
      <x:c r="C11" s="22" t="str">
        <x:v>https://github.com/Shiny-Miner/-FR-Gen-9-resources</x:v>
      </x:c>
      <x:c r="D11" s="22" t="str">
        <x:v>Zusätzlicher Ressourcenkontext; nur Referenz</x:v>
      </x:c>
      <x:c r="E11" s="23" t="str">
        <x:v>2026-05-09</x:v>
      </x:c>
    </x:row>
    <x:row r="12">
      <x:c r="A12" s="21" t="str">
        <x:v>Skeli Complete FireRed Upgrade</x:v>
      </x:c>
      <x:c r="B12" s="22" t="str">
        <x:v>CFRU upstream</x:v>
      </x:c>
      <x:c r="C12" s="22" t="str">
        <x:v>https://github.com/Skeli789/Complete-Fire-Red-Upgrade</x:v>
      </x:c>
      <x:c r="D12" s="22" t="str">
        <x:v>Offizielle CFRU-Doku/Features/Policy</x:v>
      </x:c>
      <x:c r="E12" s="23" t="str">
        <x:v>2026-05-09</x:v>
      </x:c>
    </x:row>
    <x:row r="13">
      <x:c r="A13" s="21" t="str">
        <x:v>CFRU Documentation PDF</x:v>
      </x:c>
      <x:c r="B13" s="22" t="str">
        <x:v>CFRU Doku</x:v>
      </x:c>
      <x:c r="C13" s="22" t="str">
        <x:v>https://github.com/Skeli789/Complete-Fire-Red-Upgrade/blob/master/CFRU%20Documentation.pdf</x:v>
      </x:c>
      <x:c r="D13" s="22" t="str">
        <x:v>Engine-/Script-/Optionendetails</x:v>
      </x:c>
      <x:c r="E13" s="23" t="str">
        <x:v>2026-05-09</x:v>
      </x:c>
    </x:row>
    <x:row r="14">
      <x:c r="A14" s="21" t="str">
        <x:v>CFRU Windows Installation</x:v>
      </x:c>
      <x:c r="B14" s="22" t="str">
        <x:v>CFRU Setup</x:v>
      </x:c>
      <x:c r="C14" s="22" t="str">
        <x:v>https://github.com/Skeli789/Complete-Fire-Red-Upgrade/wiki/Windows-Installation-Instructions</x:v>
      </x:c>
      <x:c r="D14" s="22" t="str">
        <x:v>devkitPro/Python/Build-Hinweise</x:v>
      </x:c>
      <x:c r="E14" s="23" t="str">
        <x:v>2026-05-09</x:v>
      </x:c>
    </x:row>
    <x:row r="15">
      <x:c r="A15" s="21" t="str">
        <x:v>Skeli Dynamic Pokémon Expansion</x:v>
      </x:c>
      <x:c r="B15" s="22" t="str">
        <x:v>DPE upstream</x:v>
      </x:c>
      <x:c r="C15" s="22" t="str">
        <x:v>https://github.com/Skeli789/Dynamic-Pokemon-Expansion</x:v>
      </x:c>
      <x:c r="D15" s="22" t="str">
        <x:v>DPE-Reihenfolge, Features, Build</x:v>
      </x:c>
      <x:c r="E15" s="23" t="str">
        <x:v>2026-05-09</x:v>
      </x:c>
    </x:row>
    <x:row r="16">
      <x:c r="A16" s="21" t="str">
        <x:v>UPR FVX GitHub</x:v>
      </x:c>
      <x:c r="B16" s="22" t="str">
        <x:v>Randomizer</x:v>
      </x:c>
      <x:c r="C16" s="22" t="str">
        <x:v>https://github.com/upr-fvx/universal-pokemon-randomizer-fvx</x:v>
      </x:c>
      <x:c r="D16" s="22" t="str">
        <x:v>Primärer Randomizer-Source</x:v>
      </x:c>
      <x:c r="E16" s="23" t="str">
        <x:v>2026-05-09</x:v>
      </x:c>
    </x:row>
    <x:row r="17">
      <x:c r="A17" s="21" t="str">
        <x:v>UPR FVX Downloads</x:v>
      </x:c>
      <x:c r="B17" s="22" t="str">
        <x:v>Randomizer</x:v>
      </x:c>
      <x:c r="C17" s="22" t="str">
        <x:v>https://upr-fvx.github.io/universal-pokemon-randomizer-fvx/downloads.html</x:v>
      </x:c>
      <x:c r="D17" s="22" t="str">
        <x:v>Aktuelle Release-Downloads und legal note</x:v>
      </x:c>
      <x:c r="E17" s="23" t="str">
        <x:v>2026-05-09</x:v>
      </x:c>
    </x:row>
    <x:row r="18">
      <x:c r="A18" s="21" t="str">
        <x:v>UPR FVX Wiki</x:v>
      </x:c>
      <x:c r="B18" s="22" t="str">
        <x:v>Randomizer Doku</x:v>
      </x:c>
      <x:c r="C18" s="22" t="str">
        <x:v>https://upr-fvx.github.io/universal-pokemon-randomizer-fvx/wikipages/home.html</x:v>
      </x:c>
      <x:c r="D18" s="22" t="str">
        <x:v>Feature-/Logikdoku</x:v>
      </x:c>
      <x:c r="E18" s="23" t="str">
        <x:v>2026-05-09</x:v>
      </x:c>
    </x:row>
    <x:row r="19">
      <x:c r="A19" s="21" t="str">
        <x:v>UPR ZX</x:v>
      </x:c>
      <x:c r="B19" s="22" t="str">
        <x:v>Randomizer Referenz</x:v>
      </x:c>
      <x:c r="C19" s="22" t="str">
        <x:v>https://github.com/Ajarmar/universal-pokemon-randomizer-zx</x:v>
      </x:c>
      <x:c r="D19" s="22" t="str">
        <x:v>Historische Basis und Fehlermuster</x:v>
      </x:c>
      <x:c r="E19" s="23" t="str">
        <x:v>2026-05-09</x:v>
      </x:c>
    </x:row>
    <x:row r="20">
      <x:c r="A20" s="21" t="str">
        <x:v>UPR ZX Issue #873</x:v>
      </x:c>
      <x:c r="B20" s="22" t="str">
        <x:v>Kompatibilitätsrisiko</x:v>
      </x:c>
      <x:c r="C20" s="22" t="str">
        <x:v>https://github.com/Ajarmar/universal-pokemon-randomizer-zx/issues/873</x:v>
      </x:c>
      <x:c r="D20" s="22" t="str">
        <x:v>Gen9-CFRU-ROM-hack Crash/Support-Risiko</x:v>
      </x:c>
      <x:c r="E20" s="23" t="str">
        <x:v>2026-05-09</x:v>
      </x:c>
    </x:row>
    <x:row r="21">
      <x:c r="A21" s="21" t="str">
        <x:v>Cyan NatDexExtension dev_new</x:v>
      </x:c>
      <x:c r="B21" s="22" t="str">
        <x:v>Cyan Referenz</x:v>
      </x:c>
      <x:c r="C21" s="22" t="str">
        <x:v>https://github.com/CyanSMP64/NatDexExtension/tree/dev_new</x:v>
      </x:c>
      <x:c r="D21" s="22" t="str">
        <x:v>Ironmon NatDex-ROM-Hack Extension</x:v>
      </x:c>
      <x:c r="E21" s="23" t="str">
        <x:v>2026-05-09</x:v>
      </x:c>
    </x:row>
    <x:row r="22">
      <x:c r="A22" s="21" t="str">
        <x:v>Cyan NatDexExtension Releases</x:v>
      </x:c>
      <x:c r="B22" s="22" t="str">
        <x:v>Cyan Referenz</x:v>
      </x:c>
      <x:c r="C22" s="22" t="str">
        <x:v>https://github.com/CyanSMP64/NatDexExtension/releases</x:v>
      </x:c>
      <x:c r="D22" s="22" t="str">
        <x:v>Randomizer-JAR/rnqs/New Runs Hinweise</x:v>
      </x:c>
      <x:c r="E22" s="23" t="str">
        <x:v>2026-05-09</x:v>
      </x:c>
    </x:row>
    <x:row r="23">
      <x:c r="A23" s="21" t="str">
        <x:v>Cyan UPR ZX natdex</x:v>
      </x:c>
      <x:c r="B23" s="22" t="str">
        <x:v>Cyan Referenz</x:v>
      </x:c>
      <x:c r="C23" s="22" t="str">
        <x:v>https://github.com/CyanSMP64/universal-pokemon-randomizer-zx/tree/natdex</x:v>
      </x:c>
      <x:c r="D23" s="22" t="str">
        <x:v>NatDex-Randomizer-Anpassungen</x:v>
      </x:c>
      <x:c r="E23" s="23" t="str">
        <x:v>2026-05-09</x:v>
      </x:c>
    </x:row>
    <x:row r="24">
      <x:c r="A24" s="21" t="str">
        <x:v>Cyan pokefirered natdex</x:v>
      </x:c>
      <x:c r="B24" s="22" t="str">
        <x:v>Cyan Referenz</x:v>
      </x:c>
      <x:c r="C24" s="22" t="str">
        <x:v>https://github.com/CyanSMP64/pokefirered/tree/natdex</x:v>
      </x:c>
      <x:c r="D24" s="22" t="str">
        <x:v>NatDex-ROM-Layout</x:v>
      </x:c>
      <x:c r="E24" s="23" t="str">
        <x:v>2026-05-09</x:v>
      </x:c>
    </x:row>
    <x:row r="25">
      <x:c r="A25" s="21" t="str">
        <x:v>pret/pokefirered</x:v>
      </x:c>
      <x:c r="B25" s="22" t="str">
        <x:v>FireRed decomp Referenz</x:v>
      </x:c>
      <x:c r="C25" s="22" t="str">
        <x:v>https://github.com/pret/pokefirered</x:v>
      </x:c>
      <x:c r="D25" s="22" t="str">
        <x:v>Optionaler Layout-/Buildvergleich</x:v>
      </x:c>
      <x:c r="E25" s="23" t="str">
        <x:v>2026-05-09</x:v>
      </x:c>
    </x:row>
    <x:row r="26">
      <x:c r="A26" s="21" t="str">
        <x:v>pokeemerald-expansion</x:v>
      </x:c>
      <x:c r="B26" s="22" t="str">
        <x:v>Optionale Architektur-Referenz</x:v>
      </x:c>
      <x:c r="C26" s="22" t="str">
        <x:v>https://github.com/rh-hideout/pokeemerald-expansion</x:v>
      </x:c>
      <x:c r="D26" s="22" t="str">
        <x:v>Gen-Expansion-Architektur als Vergleich, nicht FireRed-Basis</x:v>
      </x:c>
      <x:c r="E26" s="23" t="str">
        <x:v>2026-05-09</x:v>
      </x:c>
    </x:row>
    <x:row r="27">
      <x:c r="A27" s="21" t="str">
        <x:v>devkitPro Getting Started</x:v>
      </x:c>
      <x:c r="B27" s="22" t="str">
        <x:v>Toolchain</x:v>
      </x:c>
      <x:c r="C27" s="22" t="str">
        <x:v>https://devkitpro.org/wiki/Getting_Started</x:v>
      </x:c>
      <x:c r="D27" s="22" t="str">
        <x:v>devkitPro/devkitARM Installation</x:v>
      </x:c>
      <x:c r="E27" s="23" t="str">
        <x:v>2026-05-09</x:v>
      </x:c>
    </x:row>
    <x:row r="28">
      <x:c r="A28" s="21" t="str">
        <x:v>devkitARM</x:v>
      </x:c>
      <x:c r="B28" s="22" t="str">
        <x:v>Toolchain</x:v>
      </x:c>
      <x:c r="C28" s="22" t="str">
        <x:v>https://devkitpro.org/wiki/devkitARM</x:v>
      </x:c>
      <x:c r="D28" s="22" t="str">
        <x:v>GCC/gdb/binutils Toolchain für ARM/GBA</x:v>
      </x:c>
      <x:c r="E28" s="23" t="str">
        <x:v>2026-05-09</x:v>
      </x:c>
    </x:row>
    <x:row r="29">
      <x:c r="A29" s="21" t="str">
        <x:v>Hex Maniac Advance</x:v>
      </x:c>
      <x:c r="B29" s="22" t="str">
        <x:v>Editor</x:v>
      </x:c>
      <x:c r="C29" s="22" t="str">
        <x:v>https://github.com/haven1433/HexManiacAdvance</x:v>
      </x:c>
      <x:c r="D29" s="22" t="str">
        <x:v>FireRed Editor/Analyse</x:v>
      </x:c>
      <x:c r="E29" s="23" t="str">
        <x:v>2026-05-09</x:v>
      </x:c>
    </x:row>
    <x:row r="30">
      <x:c r="A30" s="21" t="str">
        <x:v>Hex Maniac Advance Releases</x:v>
      </x:c>
      <x:c r="B30" s="22" t="str">
        <x:v>Editor</x:v>
      </x:c>
      <x:c r="C30" s="22" t="str">
        <x:v>https://github.com/haven1433/HexManiacAdvance/releases</x:v>
      </x:c>
      <x:c r="D30" s="22" t="str">
        <x:v>Releaseauswahl</x:v>
      </x:c>
      <x:c r="E30" s="23" t="str">
        <x:v>2026-05-09</x:v>
      </x:c>
    </x:row>
    <x:row r="31">
      <x:c r="A31" s="21" t="str">
        <x:v>Ironmon Tracker</x:v>
      </x:c>
      <x:c r="B31" s="22" t="str">
        <x:v>Tracker</x:v>
      </x:c>
      <x:c r="C31" s="22" t="str">
        <x:v>https://github.com/besteon/Ironmon-Tracker</x:v>
      </x:c>
      <x:c r="D31" s="22" t="str">
        <x:v>BizHawk/mGBA Tracker, supported games</x:v>
      </x:c>
      <x:c r="E31" s="23" t="str">
        <x:v>2026-05-09</x:v>
      </x:c>
    </x:row>
    <x:row r="32">
      <x:c r="A32" s="21" t="str">
        <x:v>Ironmon Tracker Releases</x:v>
      </x:c>
      <x:c r="B32" s="22" t="str">
        <x:v>Tracker</x:v>
      </x:c>
      <x:c r="C32" s="22" t="str">
        <x:v>https://github.com/besteon/Ironmon-Tracker/releases</x:v>
      </x:c>
      <x:c r="D32" s="22" t="str">
        <x:v>Release und ROM-hack/dev support prüfen</x:v>
      </x:c>
      <x:c r="E32" s="23" t="str">
        <x:v>2026-05-09</x:v>
      </x:c>
    </x:row>
    <x:row r="33">
      <x:c r="A33" s="24" t="str">
        <x:v>BizHawk Release History</x:v>
      </x:c>
      <x:c r="B33" s="25" t="str">
        <x:v>Emulator</x:v>
      </x:c>
      <x:c r="C33" s="25" t="str">
        <x:v>https://tasvideos.org/Bizhawk/ReleaseHistory</x:v>
      </x:c>
      <x:c r="D33" s="25" t="str">
        <x:v>BizHawk-Version dokumentieren</x:v>
      </x:c>
      <x:c r="E33" s="26" t="str">
        <x:v>2026-05-09</x:v>
      </x:c>
    </x:row>
    <x:row r="34">
      <x:c r="A34" s="14" t="str">
        <x:v>GitHub Repository README</x:v>
      </x:c>
      <x:c r="B34" s="14" t="str">
        <x:v>GitHub</x:v>
      </x:c>
      <x:c r="C34" s="14" t="str">
        <x:v>https://docs.github.com/en/repositories/managing-your-repositorys-settings-and-features/customizing-your-repository/about-readmes</x:v>
      </x:c>
      <x:c r="D34" s="14" t="str">
        <x:v>README erklärt Zweck, Nutzung und Einstieg ins Projekt</x:v>
      </x:c>
      <x:c r="E34" s="14" t="str">
        <x:v>2026-05-09</x:v>
      </x:c>
    </x:row>
    <x:row r="35">
      <x:c r="A35" s="14" t="str">
        <x:v>GitHub repository best practices</x:v>
      </x:c>
      <x:c r="B35" s="14" t="str">
        <x:v>GitHub</x:v>
      </x:c>
      <x:c r="C35" s="14" t="str">
        <x:v>https://docs.github.com/en/repositories/creating-and-managing-repositories/best-practices-for-repositories</x:v>
      </x:c>
      <x:c r="D35" s="14" t="str">
        <x:v>README, License, Contributing, Code of Conduct als Projekt-Navigation</x:v>
      </x:c>
      <x:c r="E35" s="14" t="str">
        <x:v>2026-05-09</x:v>
      </x:c>
    </x:row>
    <x:row r="36">
      <x:c r="A36" s="14" t="str">
        <x:v>GitHub Codespaces dev containers</x:v>
      </x:c>
      <x:c r="B36" s="14" t="str">
        <x:v>Reproduzierbare Umgebung</x:v>
      </x:c>
      <x:c r="C36" s="14" t="str">
        <x:v>https://docs.github.com/en/codespaces/setting-up-your-project-for-codespaces/adding-a-dev-container-configuration</x:v>
      </x:c>
      <x:c r="D36" s="14" t="str">
        <x:v>Devcontainer-Konfiguration für reproduzierbare Arbeitsumgebung</x:v>
      </x:c>
      <x:c r="E36" s="14" t="str">
        <x:v>2026-05-09</x:v>
      </x:c>
    </x:row>
    <x:row r="37">
      <x:c r="A37" s="14" t="str">
        <x:v>GitHub Codespaces overview</x:v>
      </x:c>
      <x:c r="B37" s="14" t="str">
        <x:v>Reproduzierbare Umgebung</x:v>
      </x:c>
      <x:c r="C37" s="14" t="str">
        <x:v>https://docs.github.com/codespaces/overview</x:v>
      </x:c>
      <x:c r="D37" s="14" t="str">
        <x:v>Configuration-as-Code für Codespaces</x:v>
      </x:c>
      <x:c r="E37" s="14" t="str">
        <x:v>2026-05-09</x:v>
      </x:c>
    </x:row>
    <x:row r="38">
      <x:c r="A38" s="14" t="str">
        <x:v>Git submodules book</x:v>
      </x:c>
      <x:c r="B38" s="14" t="str">
        <x:v>Git</x:v>
      </x:c>
      <x:c r="C38" s="14" t="str">
        <x:v>https://git-scm.com/book/en/v2/Git-Tools-Submodules</x:v>
      </x:c>
      <x:c r="D38" s="14" t="str">
        <x:v>Externe Repos als Unterverzeichnisse mit eigener Historie</x:v>
      </x:c>
      <x:c r="E38" s="14" t="str">
        <x:v>2026-05-09</x:v>
      </x:c>
    </x:row>
    <x:row r="39">
      <x:c r="A39" s="14" t="str">
        <x:v>GitHub Git LFS</x:v>
      </x:c>
      <x:c r="B39" s="14" t="str">
        <x:v>Git</x:v>
      </x:c>
      <x:c r="C39" s="14" t="str">
        <x:v>https://docs.github.com/repositories/working-with-files/managing-large-files/about-git-large-file-storage</x:v>
      </x:c>
      <x:c r="D39" s="14" t="str">
        <x:v>Große Dateien/LFS; hier vor allem als Warnung: ROMs trotzdem nicht tracken</x:v>
      </x:c>
      <x:c r="E39" s="14" t="str">
        <x:v>2026-05-09</x:v>
      </x:c>
    </x:row>
    <x:row r="40">
      <x:c r="A40" s="14" t="str">
        <x:v>AGENTS.md Format</x:v>
      </x:c>
      <x:c r="B40" s="14" t="str">
        <x:v>Agenten-Kontext</x:v>
      </x:c>
      <x:c r="C40" s="14" t="str">
        <x:v>https://agents.md/</x:v>
      </x:c>
      <x:c r="D40" s="14" t="str">
        <x:v>AGENTS.md als README für Coding Agents</x:v>
      </x:c>
      <x:c r="E40" s="14" t="str">
        <x:v>2026-05-09</x:v>
      </x:c>
    </x:row>
  </x:sheetData>
  <x:pageMargins left="0.7" right="0.7" top="0.75" bottom="0.75" header="0.3" footer="0.3"/>
  <x:tableParts count="1">
    <x:tablePart xmlns:r="http://schemas.openxmlformats.org/officeDocument/2006/relationships" r:id="Rf7602d7d11214960"/>
  </x:tableParts>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60" hidden="0" customWidth="1"/>
  </x:cols>
  <x:sheetData>
    <x:row r="1" ht="24" customHeight="1">
      <x:c r="A1" s="192" t="str">
        <x:v>Liste</x:v>
      </x:c>
      <x:c r="B1" s="193" t="str">
        <x:v>Wert</x:v>
      </x:c>
      <x:c r="C1" s="194" t="str">
        <x:v>Bedeutung</x:v>
      </x:c>
    </x:row>
    <x:row r="2">
      <x:c r="A2" s="21" t="str">
        <x:v>Status</x:v>
      </x:c>
      <x:c r="B2" s="22" t="str">
        <x:v>Noch offen</x:v>
      </x:c>
      <x:c r="C2" s="23" t="str">
        <x:v>Nicht begonnen, aber geplant.</x:v>
      </x:c>
    </x:row>
    <x:row r="3">
      <x:c r="A3" s="21" t="str">
        <x:v>Status</x:v>
      </x:c>
      <x:c r="B3" s="22" t="str">
        <x:v>Als Nächstes</x:v>
      </x:c>
      <x:c r="C3" s="23" t="str">
        <x:v>Nächster empfohlener Arbeitsschritt.</x:v>
      </x:c>
    </x:row>
    <x:row r="4">
      <x:c r="A4" s="21" t="str">
        <x:v>Status</x:v>
      </x:c>
      <x:c r="B4" s="22" t="str">
        <x:v>In Arbeit</x:v>
      </x:c>
      <x:c r="C4" s="23" t="str">
        <x:v>Aktiv begonnen.</x:v>
      </x:c>
    </x:row>
    <x:row r="5">
      <x:c r="A5" s="21" t="str">
        <x:v>Status</x:v>
      </x:c>
      <x:c r="B5" s="22" t="str">
        <x:v>Review/Test</x:v>
      </x:c>
      <x:c r="C5" s="23" t="str">
        <x:v>Ergebnis liegt vor, Prüfung/Test läuft.</x:v>
      </x:c>
    </x:row>
    <x:row r="6">
      <x:c r="A6" s="21" t="str">
        <x:v>Status</x:v>
      </x:c>
      <x:c r="B6" s="22" t="str">
        <x:v>Warten/Blockiert</x:v>
      </x:c>
      <x:c r="C6" s="23" t="str">
        <x:v>Abhängig von Entscheidung, Tool, Fehler oder Input.</x:v>
      </x:c>
    </x:row>
    <x:row r="7">
      <x:c r="A7" s="21" t="str">
        <x:v>Status</x:v>
      </x:c>
      <x:c r="B7" s="22" t="str">
        <x:v>Erledigt</x:v>
      </x:c>
      <x:c r="C7" s="23" t="str">
        <x:v>Abnahmekriterium erfüllt und Nachweis vorhanden.</x:v>
      </x:c>
    </x:row>
    <x:row r="8">
      <x:c r="A8" s="21" t="str">
        <x:v>Arbeitsschrittgröße</x:v>
      </x:c>
      <x:c r="B8" s="22" t="str">
        <x:v>Sehr klein</x:v>
      </x:c>
      <x:c r="C8" s="23" t="str">
        <x:v>Ein einzelner Befehl, eine Datei, ein kurzer Check.</x:v>
      </x:c>
    </x:row>
    <x:row r="9">
      <x:c r="A9" s="21" t="str">
        <x:v>Arbeitsschrittgröße</x:v>
      </x:c>
      <x:c r="B9" s="22" t="str">
        <x:v>Klein</x:v>
      </x:c>
      <x:c r="C9" s="23" t="str">
        <x:v>Ein klarer Mini-Task mit direktem Nachweis.</x:v>
      </x:c>
    </x:row>
    <x:row r="10">
      <x:c r="A10" s="21" t="str">
        <x:v>Arbeitsschrittgröße</x:v>
      </x:c>
      <x:c r="B10" s="22" t="str">
        <x:v>Mittel</x:v>
      </x:c>
      <x:c r="C10" s="23" t="str">
        <x:v>Mehrere Unterchecks, aber noch ein fokussiertes Ergebnis.</x:v>
      </x:c>
    </x:row>
    <x:row r="11">
      <x:c r="A11" s="24" t="str">
        <x:v>Arbeitsschrittgröße</x:v>
      </x:c>
      <x:c r="B11" s="25" t="str">
        <x:v>Groß</x:v>
      </x:c>
      <x:c r="C11" s="26" t="str">
        <x:v>Sollte weiter zerlegt werden.</x:v>
      </x:c>
    </x:row>
  </x:sheetData>
  <x:pageMargins left="0.7" right="0.7" top="0.75" bottom="0.75" header="0.3" footer="0.3"/>
  <x:tableParts count="1">
    <x:tablePart xmlns:r="http://schemas.openxmlformats.org/officeDocument/2006/relationships" r:id="Re5b813db45ca480c"/>
  </x:tableParts>
</x:worksheet>
</file>

<file path=xl/worksheets/sheet15.xml><?xml version="1.0" encoding="utf-8"?>
<x:worksheet xmlns:x="http://schemas.openxmlformats.org/spreadsheetml/2006/main">
  <x:sheetFormatPr defaultRowHeight="15"/>
  <x:cols>
    <x:col min="1" max="1" width="18" hidden="0" customWidth="1"/>
    <x:col min="2" max="2" width="12" hidden="0" customWidth="1"/>
    <x:col min="3" max="3" width="48" hidden="0" customWidth="1"/>
    <x:col min="4" max="4" width="42" hidden="0" customWidth="1"/>
    <x:col min="5" max="5" width="42" hidden="0" customWidth="1"/>
    <x:col min="6" max="6" width="18" hidden="0" customWidth="1"/>
  </x:cols>
  <x:sheetData>
    <x:row r="1" ht="34" customHeight="1">
      <x:c r="A1" s="204" t="str">
        <x:v>Bereich</x:v>
      </x:c>
      <x:c r="B1" s="204" t="str">
        <x:v>Pflicht?</x:v>
      </x:c>
      <x:c r="C1" s="204" t="str">
        <x:v>Was muss dokumentiert sein?</x:v>
      </x:c>
      <x:c r="D1" s="204" t="str">
        <x:v>Datei / Ort</x:v>
      </x:c>
      <x:c r="E1" s="204" t="str">
        <x:v>Terminal-Check / Nachweis</x:v>
      </x:c>
      <x:c r="F1" s="204" t="str">
        <x:v>Status</x:v>
      </x:c>
    </x:row>
    <x:row r="2" ht="54" customHeight="1">
      <x:c r="A2" s="14" t="str">
        <x:v>Zielbild</x:v>
      </x:c>
      <x:c r="B2" s="14" t="str">
        <x:v>Ja</x:v>
      </x:c>
      <x:c r="C2" s="14" t="str">
        <x:v>Ein neuer Rechner kann das Repo klonen, Tools installieren, externe Quellen pinnen und lokale ROM-/Build-Artefakte separat hinzufügen.</x:v>
      </x:c>
      <x:c r="D2" s="14" t="str">
        <x:v>README.md; 01_docs/PROJECT_BRIEF.md</x:v>
      </x:c>
      <x:c r="E2" s="14" t="str">
        <x:v>README enthält Quickstart + Nicht-Ziele + ROM-Policy.</x:v>
      </x:c>
      <x:c r="F2" s="14" t="str">
        <x:v>Neu ergänzt</x:v>
      </x:c>
    </x:row>
    <x:row r="3" ht="54" customHeight="1">
      <x:c r="A3" s="14" t="str">
        <x:v>Betriebssystem</x:v>
      </x:c>
      <x:c r="B3" s="14" t="str">
        <x:v>Ja</x:v>
      </x:c>
      <x:c r="C3" s="14" t="str">
        <x:v>Primäre Plattform und alternative Plattformen; Shell-Annahme Git Bash/PowerShell; Pfadkonventionen.</x:v>
      </x:c>
      <x:c r="D3" s="14" t="str">
        <x:v>01_docs/setup/environment.md</x:v>
      </x:c>
      <x:c r="E3" s="14" t="str">
        <x:v>uname -a / systeminfo; pwsh --version; bash --version</x:v>
      </x:c>
      <x:c r="F3" s="14" t="str">
        <x:v>Neu ergänzt</x:v>
      </x:c>
    </x:row>
    <x:row r="4" ht="54" customHeight="1">
      <x:c r="A4" s="14" t="str">
        <x:v>Toolchain</x:v>
      </x:c>
      <x:c r="B4" s="14" t="str">
        <x:v>Ja</x:v>
      </x:c>
      <x:c r="C4" s="14" t="str">
        <x:v>devkitPro/devkitARM, Python, Java, Git, GitHub CLI, Make, optional MSYS2/WSL; Versionen und Installationsweg.</x:v>
      </x:c>
      <x:c r="D4" s="14" t="str">
        <x:v>01_docs/references/tool-manifest.md; 01_docs/setup/toolchain.md</x:v>
      </x:c>
      <x:c r="E4" s="14" t="str">
        <x:v>git --version; gh --version; python --version; java -version; arm-none-eabi-gcc --version</x:v>
      </x:c>
      <x:c r="F4" s="14" t="str">
        <x:v>Neu ergänzt</x:v>
      </x:c>
    </x:row>
    <x:row r="5" ht="54" customHeight="1">
      <x:c r="A5" s="14" t="str">
        <x:v>Externe Repos</x:v>
      </x:c>
      <x:c r="B5" s="14" t="str">
        <x:v>Ja</x:v>
      </x:c>
      <x:c r="C5" s="14" t="str">
        <x:v>URL, Branch, Commit-Hash, Zweck, Read-only/Editable-Regel; Entscheidung Submodule vs Bootstrap-Script.</x:v>
      </x:c>
      <x:c r="D5" s="14" t="str">
        <x:v>01_docs/references/tool-manifest.md; 07_scripts/bootstrap/external-repos.sh</x:v>
      </x:c>
      <x:c r="E5" s="14" t="str">
        <x:v>git -C 02_external/&lt;repo&gt; rev-parse HEAD</x:v>
      </x:c>
      <x:c r="F5" s="14" t="str">
        <x:v>Neu ergänzt</x:v>
      </x:c>
    </x:row>
    <x:row r="6" ht="54" customHeight="1">
      <x:c r="A6" s="14" t="str">
        <x:v>Private Artefakte</x:v>
      </x:c>
      <x:c r="B6" s="14" t="str">
        <x:v>Ja</x:v>
      </x:c>
      <x:c r="C6" s="14" t="str">
        <x:v>Welche Dateien fehlen nach GitHub-Clone: ROMs, Saves, randomized builds, Tool-ZIPs; nur Hash/Dateiname/Quelle intern dokumentieren.</x:v>
      </x:c>
      <x:c r="D6" s="14" t="str">
        <x:v>04_private_roms/README.local.example.md; .gitignore</x:v>
      </x:c>
      <x:c r="E6" s="14" t="str">
        <x:v>git status --ignored --short zeigt .gba/.sav/.state als ignored.</x:v>
      </x:c>
      <x:c r="F6" s="14" t="str">
        <x:v>Neu ergänzt</x:v>
      </x:c>
    </x:row>
    <x:row r="7" ht="54" customHeight="1">
      <x:c r="A7" s="14" t="str">
        <x:v>Build-Ausgaben</x:v>
      </x:c>
      <x:c r="B7" s="14" t="str">
        <x:v>Ja</x:v>
      </x:c>
      <x:c r="C7" s="14" t="str">
        <x:v>Alle generierten ROMs/Patches/Logs/Builds gehen in ignorierte oder freigegebene Pfade; keine ROMs in Git.</x:v>
      </x:c>
      <x:c r="D7" s="14" t="str">
        <x:v>.gitignore; 05_builds/README.local.example.md; 06_patches/</x:v>
      </x:c>
      <x:c r="E7" s="14" t="str">
        <x:v>find . -name '*.gba' -o -name '*.sav' ; git status --short</x:v>
      </x:c>
      <x:c r="F7" s="14" t="str">
        <x:v>Neu ergänzt</x:v>
      </x:c>
    </x:row>
    <x:row r="8" ht="54" customHeight="1">
      <x:c r="A8" s="14" t="str">
        <x:v>Bootstrap</x:v>
      </x:c>
      <x:c r="B8" s="14" t="str">
        <x:v>Ja</x:v>
      </x:c>
      <x:c r="C8" s="14" t="str">
        <x:v>Ein Skript oder dokumentierter Terminalblock richtet Ordner, externe Repos, Docs und Checks ein.</x:v>
      </x:c>
      <x:c r="D8" s="14" t="str">
        <x:v>07_scripts/bootstrap/README.md; 07_scripts/bootstrap/*.sh/*.ps1</x:v>
      </x:c>
      <x:c r="E8" s="14" t="str">
        <x:v>bash 07_scripts/bootstrap/check-env.sh</x:v>
      </x:c>
      <x:c r="F8" s="14" t="str">
        <x:v>Neu ergänzt</x:v>
      </x:c>
    </x:row>
    <x:row r="9" ht="54" customHeight="1">
      <x:c r="A9" s="14" t="str">
        <x:v>Codex-Kontext</x:v>
      </x:c>
      <x:c r="B9" s="14" t="str">
        <x:v>Ja</x:v>
      </x:c>
      <x:c r="C9" s="14" t="str">
        <x:v>AGENTS.md erklärt erlaubte Pfade, verbotene Pfade, Testbefehle, Review-Regeln und Updatepflicht für Handoff-Dokumente.</x:v>
      </x:c>
      <x:c r="D9" s="14" t="str">
        <x:v>AGENTS.md; 01_docs/SESSION_STATE.md</x:v>
      </x:c>
      <x:c r="E9" s="14" t="str">
        <x:v>codex dry-run: Regeln zusammenfassen, keine Dateiänderung.</x:v>
      </x:c>
      <x:c r="F9" s="14" t="str">
        <x:v>Bereits vorhanden, erweitert</x:v>
      </x:c>
    </x:row>
    <x:row r="10" ht="54" customHeight="1">
      <x:c r="A10" s="14" t="str">
        <x:v>ChatGPT-Kontext</x:v>
      </x:c>
      <x:c r="B10" s="14" t="str">
        <x:v>Ja</x:v>
      </x:c>
      <x:c r="C10" s="14" t="str">
        <x:v>Projekt-Instructions + hochgeladene/aktuelle Handoff-Dateien; klare Regel, dass GitHub-Repo die Quelle der Wahrheit ist.</x:v>
      </x:c>
      <x:c r="D10" s="14" t="str">
        <x:v>ChatGPT Project Settings; 01_docs/PROJECT_BRIEF.md</x:v>
      </x:c>
      <x:c r="E10" s="14" t="str">
        <x:v>Vor Chatstart: aktuelle PROJECT_BRIEF.md + NEXT_STEPS.md prüfen.</x:v>
      </x:c>
      <x:c r="F10" s="14" t="str">
        <x:v>Neu ergänzt</x:v>
      </x:c>
    </x:row>
    <x:row r="11" ht="54" customHeight="1">
      <x:c r="A11" s="14" t="str">
        <x:v>Devcontainer optional</x:v>
      </x:c>
      <x:c r="B11" s="14" t="str">
        <x:v>Später</x:v>
      </x:c>
      <x:c r="C11" s="14" t="str">
        <x:v>Wenn die Toolchain stabil ist: .devcontainer/devcontainer.json für reproduzierbare Codespaces-/Container-Umgebung prüfen.</x:v>
      </x:c>
      <x:c r="D11" s="14" t="str">
        <x:v>.devcontainer/devcontainer.json</x:v>
      </x:c>
      <x:c r="E11" s="14" t="str">
        <x:v>codespace/devcontainer startet und enthält Basis-Tools.</x:v>
      </x:c>
      <x:c r="F11" s="14" t="str">
        <x:v>Optional</x:v>
      </x:c>
    </x:row>
    <x:row r="12" ht="54" customHeight="1"/>
    <x:row r="13" ht="54" customHeight="1"/>
    <x:row r="14" ht="54" customHeight="1"/>
    <x:row r="15" ht="54" customHeight="1"/>
    <x:row r="16" ht="54" customHeight="1"/>
    <x:row r="17" ht="54" customHeight="1"/>
    <x:row r="18" ht="54" customHeight="1"/>
    <x:row r="19" ht="54" customHeight="1"/>
    <x:row r="20" ht="54" customHeight="1"/>
    <x:row r="21" ht="54" customHeight="1"/>
    <x:row r="22" ht="54" customHeight="1"/>
    <x:row r="23" ht="54" customHeight="1"/>
    <x:row r="24" ht="54" customHeight="1"/>
    <x:row r="25" ht="54" customHeight="1"/>
    <x:row r="26" ht="54" customHeight="1"/>
    <x:row r="27" ht="54" customHeight="1"/>
    <x:row r="28" ht="54" customHeight="1"/>
    <x:row r="29" ht="54" customHeight="1"/>
    <x:row r="30" ht="54" customHeight="1"/>
    <x:row r="31" ht="54" customHeight="1"/>
    <x:row r="32" ht="54" customHeight="1"/>
    <x:row r="33" ht="54" customHeight="1"/>
    <x:row r="34" ht="54" customHeight="1"/>
    <x:row r="35" ht="54" customHeight="1"/>
    <x:row r="36" ht="54" customHeight="1"/>
    <x:row r="37" ht="54" customHeight="1"/>
    <x:row r="38" ht="54" customHeight="1"/>
    <x:row r="39" ht="54" customHeight="1"/>
    <x:row r="40" ht="54" customHeight="1"/>
    <x:row r="41" ht="54" customHeight="1"/>
    <x:row r="42" ht="54" customHeight="1"/>
    <x:row r="43" ht="54" customHeight="1"/>
    <x:row r="44" ht="54" customHeight="1"/>
    <x:row r="45" ht="54" customHeight="1"/>
    <x:row r="46" ht="54" customHeight="1"/>
    <x:row r="47" ht="54" customHeight="1"/>
    <x:row r="48" ht="54" customHeight="1"/>
    <x:row r="49" ht="54" customHeight="1"/>
    <x:row r="50" ht="54" customHeight="1"/>
    <x:row r="51" ht="54" customHeight="1"/>
    <x:row r="52" ht="54" customHeight="1"/>
    <x:row r="53" ht="54" customHeight="1"/>
    <x:row r="54" ht="54" customHeight="1"/>
    <x:row r="55" ht="54" customHeight="1"/>
    <x:row r="56" ht="54" customHeight="1"/>
    <x:row r="57" ht="54" customHeight="1"/>
    <x:row r="58" ht="54" customHeight="1"/>
    <x:row r="59" ht="54" customHeight="1"/>
    <x:row r="60" ht="54" customHeight="1"/>
    <x:row r="61" ht="54" customHeight="1"/>
    <x:row r="62" ht="54" customHeight="1"/>
    <x:row r="63" ht="54" customHeight="1"/>
    <x:row r="64" ht="54" customHeight="1"/>
    <x:row r="65" ht="54" customHeight="1"/>
    <x:row r="66" ht="54" customHeight="1"/>
    <x:row r="67" ht="54" customHeight="1"/>
    <x:row r="68" ht="54" customHeight="1"/>
    <x:row r="69" ht="54" customHeight="1"/>
    <x:row r="70" ht="54" customHeight="1"/>
    <x:row r="71" ht="54" customHeight="1"/>
    <x:row r="72" ht="54" customHeight="1"/>
    <x:row r="73" ht="54" customHeight="1"/>
    <x:row r="74" ht="54" customHeight="1"/>
    <x:row r="75" ht="54" customHeight="1"/>
    <x:row r="76" ht="54" customHeight="1"/>
    <x:row r="77" ht="54" customHeight="1"/>
    <x:row r="78" ht="54" customHeight="1"/>
    <x:row r="79" ht="54" customHeight="1"/>
    <x:row r="80" ht="54" customHeight="1"/>
    <x:row r="81" ht="54" customHeight="1"/>
    <x:row r="82" ht="54" customHeight="1"/>
    <x:row r="83" ht="54" customHeight="1"/>
    <x:row r="84" ht="54" customHeight="1"/>
    <x:row r="85" ht="54" customHeight="1"/>
    <x:row r="86" ht="54" customHeight="1"/>
    <x:row r="87" ht="54" customHeight="1"/>
    <x:row r="88" ht="54" customHeight="1"/>
    <x:row r="89" ht="54" customHeight="1"/>
    <x:row r="90" ht="54" customHeight="1"/>
    <x:row r="91" ht="54" customHeight="1"/>
    <x:row r="92" ht="54" customHeight="1"/>
    <x:row r="93" ht="54" customHeight="1"/>
    <x:row r="94" ht="54" customHeight="1"/>
    <x:row r="95" ht="54" customHeight="1"/>
    <x:row r="96" ht="54" customHeight="1"/>
    <x:row r="97" ht="54" customHeight="1"/>
    <x:row r="98" ht="54" customHeight="1"/>
    <x:row r="99" ht="54" customHeight="1"/>
    <x:row r="100" ht="54" customHeight="1"/>
  </x:sheetData>
  <x:pageMargins left="0.7" right="0.7" top="0.75" bottom="0.75" header="0.3" footer="0.3"/>
  <x:tableParts count="1">
    <x:tablePart xmlns:r="http://schemas.openxmlformats.org/officeDocument/2006/relationships" r:id="R973acb701b1a4396"/>
  </x:tableParts>
</x:worksheet>
</file>

<file path=xl/worksheets/sheet16.xml><?xml version="1.0" encoding="utf-8"?>
<x:worksheet xmlns:x="http://schemas.openxmlformats.org/spreadsheetml/2006/main">
  <x:sheetFormatPr defaultRowHeight="15"/>
  <x:cols>
    <x:col min="1" max="1" width="22" hidden="0" customWidth="1"/>
    <x:col min="2" max="2" width="42" hidden="0" customWidth="1"/>
    <x:col min="3" max="3" width="40" hidden="0" customWidth="1"/>
    <x:col min="4" max="4" width="42" hidden="0" customWidth="1"/>
    <x:col min="5" max="5" width="48" hidden="0" customWidth="1"/>
  </x:cols>
  <x:sheetData>
    <x:row r="1" ht="34" customHeight="1">
      <x:c r="A1" s="204" t="str">
        <x:v>Kategorie</x:v>
      </x:c>
      <x:c r="B1" s="204" t="str">
        <x:v>Empfehlung</x:v>
      </x:c>
      <x:c r="C1" s="204" t="str">
        <x:v>Warum</x:v>
      </x:c>
      <x:c r="D1" s="204" t="str">
        <x:v>Konkrete Ablage</x:v>
      </x:c>
      <x:c r="E1" s="204" t="str">
        <x:v>Regel für ChatGPT/Codex</x:v>
      </x:c>
    </x:row>
    <x:row r="2" ht="54" customHeight="1">
      <x:c r="A2" s="14" t="str">
        <x:v>Aktives Projekt-Repo</x:v>
      </x:c>
      <x:c r="B2" s="14" t="str">
        <x:v>Eigenes privates GitHub-Repo als Source of Truth anlegen.</x:v>
      </x:c>
      <x:c r="C2" s="14" t="str">
        <x:v>Browserchat, Codex und neuer Rechner brauchen einen gemeinsamen, versionierten Stand.</x:v>
      </x:c>
      <x:c r="D2" s="14" t="str">
        <x:v>z. B. firered-gen9-randomizer-workspace</x:v>
      </x:c>
      <x:c r="E2" s="14" t="str">
        <x:v>ChatGPT nutzt nur die aktuelle Repo-Doku oder die neu hochgeladene Checkliste; Codex arbeitet im lokalen Clone.</x:v>
      </x:c>
    </x:row>
    <x:row r="3" ht="54" customHeight="1">
      <x:c r="A3" s="14" t="str">
        <x:v>Excel-Checkliste</x:v>
      </x:c>
      <x:c r="B3" s="14" t="str">
        <x:v>Im Repo ablegen, aber nicht als einzige Wahrheit behandeln.</x:v>
      </x:c>
      <x:c r="C3" s="14" t="str">
        <x:v>XLSX ist gut als Dashboard, aber schlecht für Diffs/Reviews.</x:v>
      </x:c>
      <x:c r="D3" s="14" t="str">
        <x:v>00_project-control/roadmap/firered_gen9_randomizer_workflow_checkliste.xlsx</x:v>
      </x:c>
      <x:c r="E3" s="14" t="str">
        <x:v>Änderungen zusätzlich in Markdown/CSV spiegeln.</x:v>
      </x:c>
    </x:row>
    <x:row r="4" ht="54" customHeight="1">
      <x:c r="A4" s="14" t="str">
        <x:v>Markdown-Docs</x:v>
      </x:c>
      <x:c r="B4" s="14" t="str">
        <x:v>Markdown ist die autoritative Projekt-Dokumentation.</x:v>
      </x:c>
      <x:c r="C4" s="14" t="str">
        <x:v>GitHub zeigt README/Docs direkt an; Diff/Review sind sauber.</x:v>
      </x:c>
      <x:c r="D4" s="14" t="str">
        <x:v>README.md; AGENTS.md; 01_docs/**/*.md</x:v>
      </x:c>
      <x:c r="E4" s="14" t="str">
        <x:v>Jeder Arbeitsblock aktualisiert SESSION_STATE.md und NEXT_STEPS.md.</x:v>
      </x:c>
    </x:row>
    <x:row r="5" ht="54" customHeight="1">
      <x:c r="A5" s="14" t="str">
        <x:v>Roadmap exportierbar</x:v>
      </x:c>
      <x:c r="B5" s="14" t="str">
        <x:v>Roadmap zusätzlich als Markdown oder CSV pflegen/exportieren.</x:v>
      </x:c>
      <x:c r="C5" s="14" t="str">
        <x:v>Codex und GitHub-Reviews können Textdiffs besser prüfen als XLSX.</x:v>
      </x:c>
      <x:c r="D5" s="14" t="str">
        <x:v>00_project-control/roadmap/roadmap.md oder roadmap.csv</x:v>
      </x:c>
      <x:c r="E5" s="14" t="str">
        <x:v>Excel darf schöner sein; roadmap.md/csv bleibt maschinenlesbar.</x:v>
      </x:c>
    </x:row>
    <x:row r="6" ht="54" customHeight="1">
      <x:c r="A6" s="14" t="str">
        <x:v>Externe Repos</x:v>
      </x:c>
      <x:c r="B6" s="14" t="str">
        <x:v>Nicht blind kopieren; entweder Submodule oder Bootstrap-Script + Commit-Pins.</x:v>
      </x:c>
      <x:c r="C6" s="14" t="str">
        <x:v>Submodule trennen fremde Historie; Bootstrap ist einfacher für Einsteiger.</x:v>
      </x:c>
      <x:c r="D6" s="14" t="str">
        <x:v>02_external/ als Submodule oder ignored + 07_scripts/bootstrap</x:v>
      </x:c>
      <x:c r="E6" s="14" t="str">
        <x:v>Entscheidung in 01_docs/decisions/external-repos.md festhalten.</x:v>
      </x:c>
    </x:row>
    <x:row r="7" ht="54" customHeight="1">
      <x:c r="A7" s="14" t="str">
        <x:v>Tools/Releases</x:v>
      </x:c>
      <x:c r="B7" s="14" t="str">
        <x:v>Nicht ins Git, sondern Versionen und Downloadquellen dokumentieren.</x:v>
      </x:c>
      <x:c r="C7" s="14" t="str">
        <x:v>ZIP/JAR/EXE können groß sein und sind schlecht für Repo-Historie.</x:v>
      </x:c>
      <x:c r="D7" s="14" t="str">
        <x:v>03_tools/releases/ lokal ignoriert; tool-manifest.md im Git</x:v>
      </x:c>
      <x:c r="E7" s="14" t="str">
        <x:v>Codex darf Releases nicht committen.</x:v>
      </x:c>
    </x:row>
    <x:row r="8" ht="54" customHeight="1">
      <x:c r="A8" s="14" t="str">
        <x:v>ROMs/Saves/States</x:v>
      </x:c>
      <x:c r="B8" s="14" t="str">
        <x:v>Nie ins Git, nie in ChatGPT hochladen.</x:v>
      </x:c>
      <x:c r="C8" s="14" t="str">
        <x:v>Rechtlich/privat; außerdem schlechte Reproduzierbarkeit über Binärdateien.</x:v>
      </x:c>
      <x:c r="D8" s="14" t="str">
        <x:v>04_private_roms/ lokal ignoriert</x:v>
      </x:c>
      <x:c r="E8" s="14" t="str">
        <x:v>Nur Hashes, Dateinamen und lokale Platzhalter dokumentieren.</x:v>
      </x:c>
    </x:row>
    <x:row r="9" ht="54" customHeight="1">
      <x:c r="A9" s="14" t="str">
        <x:v>Builds</x:v>
      </x:c>
      <x:c r="B9" s="14" t="str">
        <x:v>Nicht committen; reproduzierbar erzeugen.</x:v>
      </x:c>
      <x:c r="C9" s="14" t="str">
        <x:v>Generierte Dateien gehören nicht in den Quellstand.</x:v>
      </x:c>
      <x:c r="D9" s="14" t="str">
        <x:v>05_builds/ lokal ignoriert</x:v>
      </x:c>
      <x:c r="E9" s="14" t="str">
        <x:v>Buildskripte und Logs ja; GBA nein.</x:v>
      </x:c>
    </x:row>
    <x:row r="10" ht="54" customHeight="1">
      <x:c r="A10" s="14" t="str">
        <x:v>Patches</x:v>
      </x:c>
      <x:c r="B10" s="14" t="str">
        <x:v>Nur nach Review tracken.</x:v>
      </x:c>
      <x:c r="C10" s="14" t="str">
        <x:v>Patches können veröffentlicht werden, ROMs nicht.</x:v>
      </x:c>
      <x:c r="D10" s="14" t="str">
        <x:v>06_patches/ nach Freigabe</x:v>
      </x:c>
      <x:c r="E10" s="14" t="str">
        <x:v>Vor Commit: prüfen, dass kein ROM-Inhalt als GBA/SAV enthalten ist.</x:v>
      </x:c>
    </x:row>
    <x:row r="11" ht="54" customHeight="1">
      <x:c r="A11" s="14" t="str">
        <x:v>ChatGPT Project</x:v>
      </x:c>
      <x:c r="B11" s="14" t="str">
        <x:v>Projektdateien regelmäßig mit aktuellen Handoff-Dateien füttern.</x:v>
      </x:c>
      <x:c r="C11" s="14" t="str">
        <x:v>ChatGPT-Browser kennt nicht automatisch jeden GitHub-Commit, wenn kein Connector/Upload genutzt wird.</x:v>
      </x:c>
      <x:c r="D11" s="14" t="str">
        <x:v>PROJECT_BRIEF.md, SESSION_STATE.md, NEXT_STEPS.md</x:v>
      </x:c>
      <x:c r="E11" s="14" t="str">
        <x:v>Bei neuem Chat zuerst aktuelle Dateien oder Repo-Kontext bereitstellen.</x:v>
      </x:c>
    </x:row>
    <x:row r="12" ht="54" customHeight="1">
      <x:c r="A12" s="14" t="str">
        <x:v>Codex</x:v>
      </x:c>
      <x:c r="B12" s="14" t="str">
        <x:v>Codex arbeitet im aktuellen lokalen Git-Clone.</x:v>
      </x:c>
      <x:c r="C12" s="14" t="str">
        <x:v>Codex sieht den Workspace, nicht automatisch den Chatverlauf.</x:v>
      </x:c>
      <x:c r="D12" s="14" t="str">
        <x:v>Root des geklonten Projekt-Repos</x:v>
      </x:c>
      <x:c r="E12" s="14" t="str">
        <x:v>AGENTS.md + Handoff-Dokumente sind Pflichtkontext.</x:v>
      </x:c>
    </x:row>
    <x:row r="13" ht="54" customHeight="1"/>
    <x:row r="14" ht="54" customHeight="1"/>
    <x:row r="15" ht="54" customHeight="1"/>
    <x:row r="16" ht="54" customHeight="1"/>
    <x:row r="17" ht="54" customHeight="1"/>
    <x:row r="18" ht="54" customHeight="1"/>
    <x:row r="19" ht="54" customHeight="1"/>
    <x:row r="20" ht="54" customHeight="1"/>
    <x:row r="21" ht="54" customHeight="1"/>
    <x:row r="22" ht="54" customHeight="1"/>
    <x:row r="23" ht="54" customHeight="1"/>
    <x:row r="24" ht="54" customHeight="1"/>
    <x:row r="25" ht="54" customHeight="1"/>
    <x:row r="26" ht="54" customHeight="1"/>
    <x:row r="27" ht="54" customHeight="1"/>
    <x:row r="28" ht="54" customHeight="1"/>
    <x:row r="29" ht="54" customHeight="1"/>
    <x:row r="30" ht="54" customHeight="1"/>
    <x:row r="31" ht="54" customHeight="1"/>
    <x:row r="32" ht="54" customHeight="1"/>
    <x:row r="33" ht="54" customHeight="1"/>
    <x:row r="34" ht="54" customHeight="1"/>
    <x:row r="35" ht="54" customHeight="1"/>
    <x:row r="36" ht="54" customHeight="1"/>
    <x:row r="37" ht="54" customHeight="1"/>
    <x:row r="38" ht="54" customHeight="1"/>
    <x:row r="39" ht="54" customHeight="1"/>
    <x:row r="40" ht="54" customHeight="1"/>
    <x:row r="41" ht="54" customHeight="1"/>
    <x:row r="42" ht="54" customHeight="1"/>
    <x:row r="43" ht="54" customHeight="1"/>
    <x:row r="44" ht="54" customHeight="1"/>
    <x:row r="45" ht="54" customHeight="1"/>
    <x:row r="46" ht="54" customHeight="1"/>
    <x:row r="47" ht="54" customHeight="1"/>
    <x:row r="48" ht="54" customHeight="1"/>
    <x:row r="49" ht="54" customHeight="1"/>
    <x:row r="50" ht="54" customHeight="1"/>
    <x:row r="51" ht="54" customHeight="1"/>
    <x:row r="52" ht="54" customHeight="1"/>
    <x:row r="53" ht="54" customHeight="1"/>
    <x:row r="54" ht="54" customHeight="1"/>
    <x:row r="55" ht="54" customHeight="1"/>
    <x:row r="56" ht="54" customHeight="1"/>
    <x:row r="57" ht="54" customHeight="1"/>
    <x:row r="58" ht="54" customHeight="1"/>
    <x:row r="59" ht="54" customHeight="1"/>
    <x:row r="60" ht="54" customHeight="1"/>
    <x:row r="61" ht="54" customHeight="1"/>
    <x:row r="62" ht="54" customHeight="1"/>
    <x:row r="63" ht="54" customHeight="1"/>
    <x:row r="64" ht="54" customHeight="1"/>
    <x:row r="65" ht="54" customHeight="1"/>
    <x:row r="66" ht="54" customHeight="1"/>
    <x:row r="67" ht="54" customHeight="1"/>
    <x:row r="68" ht="54" customHeight="1"/>
    <x:row r="69" ht="54" customHeight="1"/>
    <x:row r="70" ht="54" customHeight="1"/>
    <x:row r="71" ht="54" customHeight="1"/>
    <x:row r="72" ht="54" customHeight="1"/>
    <x:row r="73" ht="54" customHeight="1"/>
    <x:row r="74" ht="54" customHeight="1"/>
    <x:row r="75" ht="54" customHeight="1"/>
    <x:row r="76" ht="54" customHeight="1"/>
    <x:row r="77" ht="54" customHeight="1"/>
    <x:row r="78" ht="54" customHeight="1"/>
    <x:row r="79" ht="54" customHeight="1"/>
    <x:row r="80" ht="54" customHeight="1"/>
    <x:row r="81" ht="54" customHeight="1"/>
    <x:row r="82" ht="54" customHeight="1"/>
    <x:row r="83" ht="54" customHeight="1"/>
    <x:row r="84" ht="54" customHeight="1"/>
    <x:row r="85" ht="54" customHeight="1"/>
    <x:row r="86" ht="54" customHeight="1"/>
    <x:row r="87" ht="54" customHeight="1"/>
    <x:row r="88" ht="54" customHeight="1"/>
    <x:row r="89" ht="54" customHeight="1"/>
    <x:row r="90" ht="54" customHeight="1"/>
    <x:row r="91" ht="54" customHeight="1"/>
    <x:row r="92" ht="54" customHeight="1"/>
    <x:row r="93" ht="54" customHeight="1"/>
    <x:row r="94" ht="54" customHeight="1"/>
    <x:row r="95" ht="54" customHeight="1"/>
    <x:row r="96" ht="54" customHeight="1"/>
    <x:row r="97" ht="54" customHeight="1"/>
    <x:row r="98" ht="54" customHeight="1"/>
    <x:row r="99" ht="54" customHeight="1"/>
    <x:row r="100" ht="54" customHeight="1"/>
  </x:sheetData>
  <x:pageMargins left="0.7" right="0.7" top="0.75" bottom="0.75" header="0.3" footer="0.3"/>
  <x:tableParts count="1">
    <x:tablePart xmlns:r="http://schemas.openxmlformats.org/officeDocument/2006/relationships" r:id="R4cca564c1b7e42e7"/>
  </x:tableParts>
</x:worksheet>
</file>

<file path=xl/worksheets/sheet17.xml><?xml version="1.0" encoding="utf-8"?>
<x:worksheet xmlns:x="http://schemas.openxmlformats.org/spreadsheetml/2006/main">
  <x:sheetFormatPr defaultRowHeight="15"/>
  <x:cols>
    <x:col min="1" max="1" width="24" hidden="0" customWidth="1"/>
    <x:col min="2" max="2" width="14" hidden="0" customWidth="1"/>
    <x:col min="3" max="3" width="72" hidden="0" customWidth="1"/>
    <x:col min="4" max="4" width="36" hidden="0" customWidth="1"/>
    <x:col min="5" max="5" width="42" hidden="0" customWidth="1"/>
  </x:cols>
  <x:sheetData>
    <x:row r="1" ht="34" customHeight="1">
      <x:c r="A1" s="204" t="str">
        <x:v>Block</x:v>
      </x:c>
      <x:c r="B1" s="204" t="str">
        <x:v>Shell</x:v>
      </x:c>
      <x:c r="C1" s="204" t="str">
        <x:v>Befehl / Vorlage</x:v>
      </x:c>
      <x:c r="D1" s="204" t="str">
        <x:v>Zweck</x:v>
      </x:c>
      <x:c r="E1" s="204" t="str">
        <x:v>Hinweise</x:v>
      </x:c>
    </x:row>
    <x:row r="2" ht="54" customHeight="1">
      <x:c r="A2" s="14" t="str">
        <x:v>Neues GitHub-Repo vorbereiten</x:v>
      </x:c>
      <x:c r="B2" s="14" t="str">
        <x:v>Git Bash</x:v>
      </x:c>
      <x:c r="C2" s="205" t="str">
        <x:v>mkdir -p ~/romhacking/fr-rando-gen9 &amp;&amp; cd ~/romhacking/fr-rando-gen9
git init
git checkout -b setup/initial-workspace</x:v>
      </x:c>
      <x:c r="D2" s="14" t="str">
        <x:v>Lokalen Root initialisieren.</x:v>
      </x:c>
      <x:c r="E2" s="14" t="str">
        <x:v>Remote erst hinzufügen, wenn .gitignore und Basisdocs stehen.</x:v>
      </x:c>
    </x:row>
    <x:row r="3" ht="54" customHeight="1">
      <x:c r="A3" s="14" t="str">
        <x:v>Remote hinzufügen</x:v>
      </x:c>
      <x:c r="B3" s="14" t="str">
        <x:v>Git Bash</x:v>
      </x:c>
      <x:c r="C3" s="205" t="str">
        <x:v>git remote add origin git@github.com:&lt;USER&gt;/firered-gen9-randomizer-workspace.git
git remote -v</x:v>
      </x:c>
      <x:c r="D3" s="14" t="str">
        <x:v>Eigenes privates GitHub-Repo verbinden.</x:v>
      </x:c>
      <x:c r="E3" s="14" t="str">
        <x:v>HTTPS geht auch; SSH ist für Terminalarbeit meist angenehmer.</x:v>
      </x:c>
    </x:row>
    <x:row r="4" ht="54" customHeight="1">
      <x:c r="A4" s="14" t="str">
        <x:v>Clone auf anderem Rechner</x:v>
      </x:c>
      <x:c r="B4" s="14" t="str">
        <x:v>Git Bash</x:v>
      </x:c>
      <x:c r="C4" s="205" t="str">
        <x:v>git clone git@github.com:&lt;USER&gt;/firered-gen9-randomizer-workspace.git
cd firered-gen9-randomizer-workspace
git status</x:v>
      </x:c>
      <x:c r="D4" s="14" t="str">
        <x:v>Workspace aus GitHub wiederherstellen.</x:v>
      </x:c>
      <x:c r="E4" s="14" t="str">
        <x:v>Private ROMs/Tools/Builds fehlen absichtlich.</x:v>
      </x:c>
    </x:row>
    <x:row r="5" ht="54" customHeight="1">
      <x:c r="A5" s="14" t="str">
        <x:v>Ordner nach Clone prüfen</x:v>
      </x:c>
      <x:c r="B5" s="14" t="str">
        <x:v>Git Bash</x:v>
      </x:c>
      <x:c r="C5" s="205" t="str">
        <x:v>mkdir -p 03_tools/releases 04_private_roms 05_builds 06_patches 02_external
find . -maxdepth 2 -type d | sort</x:v>
      </x:c>
      <x:c r="D5" s="14" t="str">
        <x:v>Ignorierte lokale Ordner neu anlegen.</x:v>
      </x:c>
      <x:c r="E5" s="14" t="str">
        <x:v>Leere ignorierte Ordner werden von Git nicht zuverlässig mitgeführt; README.local.example.md nutzen.</x:v>
      </x:c>
    </x:row>
    <x:row r="6" ht="54" customHeight="1">
      <x:c r="A6" s="14" t="str">
        <x:v>Environment-Datei lokal</x:v>
      </x:c>
      <x:c r="B6" s="14" t="str">
        <x:v>Git Bash</x:v>
      </x:c>
      <x:c r="C6" s="205" t="str">
        <x:v>cp 01_docs/setup/env.example .env.local 2&gt;/dev/null || touch .env.local
echo 'ROM_PATH=04_private_roms/BPRE0.gba' &gt;&gt; .env.local</x:v>
      </x:c>
      <x:c r="D6" s="14" t="str">
        <x:v>Private lokale Pfade dokumentieren.</x:v>
      </x:c>
      <x:c r="E6" s="14" t="str">
        <x:v>.env.local muss in .gitignore stehen.</x:v>
      </x:c>
    </x:row>
    <x:row r="7" ht="54" customHeight="1">
      <x:c r="A7" s="14" t="str">
        <x:v>Tool-Versionen prüfen</x:v>
      </x:c>
      <x:c r="B7" s="14" t="str">
        <x:v>Git Bash</x:v>
      </x:c>
      <x:c r="C7" s="205" t="str">
        <x:v>git --version
gh --version
python --version
java -version
make --version
arm-none-eabi-gcc --version</x:v>
      </x:c>
      <x:c r="D7" s="14" t="str">
        <x:v>Rechnervergleich ermöglichen.</x:v>
      </x:c>
      <x:c r="E7" s="14" t="str">
        <x:v>Output in 01_docs/setup/toolchain.md oder 08_tests/setup/toolchain.md kopieren.</x:v>
      </x:c>
    </x:row>
    <x:row r="8" ht="54" customHeight="1">
      <x:c r="A8" s="14" t="str">
        <x:v>Externe Repos pinnen</x:v>
      </x:c>
      <x:c r="B8" s="14" t="str">
        <x:v>Git Bash</x:v>
      </x:c>
      <x:c r="C8" s="205" t="str">
        <x:v>git -C 02_external/cfru-gen9 rev-parse HEAD
git -C 02_external/dpe-gen9 rev-parse HEAD
git -C 02_external/upr-fvx rev-parse HEAD</x:v>
      </x:c>
      <x:c r="D8" s="14" t="str">
        <x:v>Commit-Pins validieren.</x:v>
      </x:c>
      <x:c r="E8" s="14" t="str">
        <x:v>Falls Repos fehlen: Bootstrap-Script oder Submodule verwenden.</x:v>
      </x:c>
    </x:row>
    <x:row r="9" ht="54" customHeight="1">
      <x:c r="A9" s="14" t="str">
        <x:v>Git-Safety vor Commit</x:v>
      </x:c>
      <x:c r="B9" s="14" t="str">
        <x:v>Git Bash</x:v>
      </x:c>
      <x:c r="C9" s="205" t="str">
        <x:v>git status --short --ignored
git ls-files | grep -Ei '\.(gba|gbc|gb|sav|srm|state|ss[0-9]|zip|7z|exe)$' &amp;&amp; echo 'STOP: private/binary tracked' || echo 'OK'</x:v>
      </x:c>
      <x:c r="D9" s="14" t="str">
        <x:v>ROM-/Save-/Release-Leaks verhindern.</x:v>
      </x:c>
      <x:c r="E9" s="14" t="str">
        <x:v>Vor jedem Push ausführen.</x:v>
      </x:c>
    </x:row>
    <x:row r="10" ht="54" customHeight="1">
      <x:c r="A10" s="14" t="str">
        <x:v>Optional: Submodules initialisieren</x:v>
      </x:c>
      <x:c r="B10" s="14" t="str">
        <x:v>Git Bash</x:v>
      </x:c>
      <x:c r="C10" s="205" t="str">
        <x:v>git submodule update --init --recursive</x:v>
      </x:c>
      <x:c r="D10" s="14" t="str">
        <x:v>Wenn externe Repos als Submodule geführt werden.</x:v>
      </x:c>
      <x:c r="E10" s="14" t="str">
        <x:v>Nur nutzen, wenn die Entscheidung Submodule getroffen wurde.</x:v>
      </x:c>
    </x:row>
    <x:row r="11" ht="54" customHeight="1">
      <x:c r="A11" s="14" t="str">
        <x:v>Optional: Devcontainer</x:v>
      </x:c>
      <x:c r="B11" s="14" t="str">
        <x:v>Git Bash</x:v>
      </x:c>
      <x:c r="C11" s="205" t="str">
        <x:v>mkdir -p .devcontainer
touch .devcontainer/devcontainer.json</x:v>
      </x:c>
      <x:c r="D11" s="14" t="str">
        <x:v>Später reproduzierbare Umgebung vorbereiten.</x:v>
      </x:c>
      <x:c r="E11" s="14" t="str">
        <x:v>Erst nach stabiler Toolchain finalisieren.</x:v>
      </x:c>
    </x:row>
    <x:row r="12" ht="54" customHeight="1"/>
    <x:row r="13" ht="54" customHeight="1"/>
    <x:row r="14" ht="54" customHeight="1"/>
    <x:row r="15" ht="54" customHeight="1"/>
    <x:row r="16" ht="54" customHeight="1"/>
    <x:row r="17" ht="54" customHeight="1"/>
    <x:row r="18" ht="54" customHeight="1"/>
    <x:row r="19" ht="54" customHeight="1"/>
    <x:row r="20" ht="54" customHeight="1"/>
    <x:row r="21" ht="54" customHeight="1"/>
    <x:row r="22" ht="54" customHeight="1"/>
    <x:row r="23" ht="54" customHeight="1"/>
    <x:row r="24" ht="54" customHeight="1"/>
    <x:row r="25" ht="54" customHeight="1"/>
    <x:row r="26" ht="54" customHeight="1"/>
    <x:row r="27" ht="54" customHeight="1"/>
    <x:row r="28" ht="54" customHeight="1"/>
    <x:row r="29" ht="54" customHeight="1"/>
    <x:row r="30" ht="54" customHeight="1"/>
    <x:row r="31" ht="54" customHeight="1"/>
    <x:row r="32" ht="54" customHeight="1"/>
    <x:row r="33" ht="54" customHeight="1"/>
    <x:row r="34" ht="54" customHeight="1"/>
    <x:row r="35" ht="54" customHeight="1"/>
    <x:row r="36" ht="54" customHeight="1"/>
    <x:row r="37" ht="54" customHeight="1"/>
    <x:row r="38" ht="54" customHeight="1"/>
    <x:row r="39" ht="54" customHeight="1"/>
    <x:row r="40" ht="54" customHeight="1"/>
    <x:row r="41" ht="54" customHeight="1"/>
    <x:row r="42" ht="54" customHeight="1"/>
    <x:row r="43" ht="54" customHeight="1"/>
    <x:row r="44" ht="54" customHeight="1"/>
    <x:row r="45" ht="54" customHeight="1"/>
    <x:row r="46" ht="54" customHeight="1"/>
    <x:row r="47" ht="54" customHeight="1"/>
    <x:row r="48" ht="54" customHeight="1"/>
    <x:row r="49" ht="54" customHeight="1"/>
    <x:row r="50" ht="54" customHeight="1"/>
    <x:row r="51" ht="54" customHeight="1"/>
    <x:row r="52" ht="54" customHeight="1"/>
    <x:row r="53" ht="54" customHeight="1"/>
    <x:row r="54" ht="54" customHeight="1"/>
    <x:row r="55" ht="54" customHeight="1"/>
    <x:row r="56" ht="54" customHeight="1"/>
    <x:row r="57" ht="54" customHeight="1"/>
    <x:row r="58" ht="54" customHeight="1"/>
    <x:row r="59" ht="54" customHeight="1"/>
    <x:row r="60" ht="54" customHeight="1"/>
    <x:row r="61" ht="54" customHeight="1"/>
    <x:row r="62" ht="54" customHeight="1"/>
    <x:row r="63" ht="54" customHeight="1"/>
    <x:row r="64" ht="54" customHeight="1"/>
    <x:row r="65" ht="54" customHeight="1"/>
    <x:row r="66" ht="54" customHeight="1"/>
    <x:row r="67" ht="54" customHeight="1"/>
    <x:row r="68" ht="54" customHeight="1"/>
    <x:row r="69" ht="54" customHeight="1"/>
    <x:row r="70" ht="54" customHeight="1"/>
    <x:row r="71" ht="54" customHeight="1"/>
    <x:row r="72" ht="54" customHeight="1"/>
    <x:row r="73" ht="54" customHeight="1"/>
    <x:row r="74" ht="54" customHeight="1"/>
    <x:row r="75" ht="54" customHeight="1"/>
    <x:row r="76" ht="54" customHeight="1"/>
    <x:row r="77" ht="54" customHeight="1"/>
    <x:row r="78" ht="54" customHeight="1"/>
    <x:row r="79" ht="54" customHeight="1"/>
    <x:row r="80" ht="54" customHeight="1"/>
    <x:row r="81" ht="54" customHeight="1"/>
    <x:row r="82" ht="54" customHeight="1"/>
    <x:row r="83" ht="54" customHeight="1"/>
    <x:row r="84" ht="54" customHeight="1"/>
    <x:row r="85" ht="54" customHeight="1"/>
    <x:row r="86" ht="54" customHeight="1"/>
    <x:row r="87" ht="54" customHeight="1"/>
    <x:row r="88" ht="54" customHeight="1"/>
    <x:row r="89" ht="54" customHeight="1"/>
    <x:row r="90" ht="54" customHeight="1"/>
    <x:row r="91" ht="54" customHeight="1"/>
    <x:row r="92" ht="54" customHeight="1"/>
    <x:row r="93" ht="54" customHeight="1"/>
    <x:row r="94" ht="54" customHeight="1"/>
    <x:row r="95" ht="54" customHeight="1"/>
    <x:row r="96" ht="54" customHeight="1"/>
    <x:row r="97" ht="54" customHeight="1"/>
    <x:row r="98" ht="54" customHeight="1"/>
    <x:row r="99" ht="54" customHeight="1"/>
    <x:row r="100" ht="54" customHeight="1"/>
  </x:sheetData>
  <x:pageMargins left="0.7" right="0.7" top="0.75" bottom="0.75" header="0.3" footer="0.3"/>
  <x:tableParts count="1">
    <x:tablePart xmlns:r="http://schemas.openxmlformats.org/officeDocument/2006/relationships" r:id="R8affb94db5a14e91"/>
  </x:tableParts>
</x:worksheet>
</file>

<file path=xl/worksheets/sheet18.xml><?xml version="1.0" encoding="utf-8"?>
<x:worksheet xmlns:x="http://schemas.openxmlformats.org/spreadsheetml/2006/main">
  <x:sheetFormatPr defaultRowHeight="15"/>
  <x:cols>
    <x:col min="1" max="1" width="24" hidden="0" customWidth="1"/>
    <x:col min="2" max="2" width="38" hidden="0" customWidth="1"/>
    <x:col min="3" max="3" width="42" hidden="0" customWidth="1"/>
    <x:col min="4" max="4" width="42" hidden="0" customWidth="1"/>
    <x:col min="5" max="5" width="42" hidden="0" customWidth="1"/>
  </x:cols>
  <x:sheetData>
    <x:row r="1" ht="34" customHeight="1">
      <x:c r="A1" s="204" t="str">
        <x:v>Modell</x:v>
      </x:c>
      <x:c r="B1" s="204" t="str">
        <x:v>Wann sinnvoll?</x:v>
      </x:c>
      <x:c r="C1" s="204" t="str">
        <x:v>Was wird veröffentlicht/getrackt?</x:v>
      </x:c>
      <x:c r="D1" s="204" t="str">
        <x:v>Was bleibt lokal/ignoriert?</x:v>
      </x:c>
      <x:c r="E1" s="204" t="str">
        <x:v>Empfehlung</x:v>
      </x:c>
    </x:row>
    <x:row r="2" ht="54" customHeight="1">
      <x:c r="A2" s="14" t="str">
        <x:v>Privates Meta-Repo</x:v>
      </x:c>
      <x:c r="B2" s="14" t="str">
        <x:v>Jetzt, während Setup und Forschung.</x:v>
      </x:c>
      <x:c r="C2" s="14" t="str">
        <x:v>Docs, Roadmap, Scripts, Manifeste, Patches nach Review.</x:v>
      </x:c>
      <x:c r="D2" s="14" t="str">
        <x:v>ROMs, Saves, Builds, Tool-Zips, private Notes.</x:v>
      </x:c>
      <x:c r="E2" s="14" t="str">
        <x:v>Empfohlen als sofortiger Source of Truth.</x:v>
      </x:c>
    </x:row>
    <x:row r="3" ht="54" customHeight="1">
      <x:c r="A3" s="14" t="str">
        <x:v>Öffentliches Repo später</x:v>
      </x:c>
      <x:c r="B3" s="14" t="str">
        <x:v>Wenn Ziel, Grenzen, Lizenz/Credits und ROM-Policy sauber sind.</x:v>
      </x:c>
      <x:c r="C3" s="14" t="str">
        <x:v>Nur eigene Scripts/Docs/Patches/Kompatibilitätscode nach Lizenzprüfung.</x:v>
      </x:c>
      <x:c r="D3" s="14" t="str">
        <x:v>Alles Rechtlich/Privatkritische.</x:v>
      </x:c>
      <x:c r="E3" s="14" t="str">
        <x:v>Erst nach Milestone und License-Check.</x:v>
      </x:c>
    </x:row>
    <x:row r="4" ht="54" customHeight="1">
      <x:c r="A4" s="14" t="str">
        <x:v>Submodule-Modell</x:v>
      </x:c>
      <x:c r="B4" s="14" t="str">
        <x:v>Wenn externe Repos exakt gepinnt und mitgeklont werden sollen.</x:v>
      </x:c>
      <x:c r="C4" s="14" t="str">
        <x:v>Submodule-Pfade und .gitmodules.</x:v>
      </x:c>
      <x:c r="D4" s="14" t="str">
        <x:v>Tool-Releases/ROMs weiterhin nicht.</x:v>
      </x:c>
      <x:c r="E4" s="14" t="str">
        <x:v>Gut für Codex, aber etwas komplexer.</x:v>
      </x:c>
    </x:row>
    <x:row r="5" ht="54" customHeight="1">
      <x:c r="A5" s="14" t="str">
        <x:v>Bootstrap-Script-Modell</x:v>
      </x:c>
      <x:c r="B5" s="14" t="str">
        <x:v>Wenn du einfache Rebuild-Kommandos bevorzugst.</x:v>
      </x:c>
      <x:c r="C5" s="14" t="str">
        <x:v>Scripts, Manifest, Commit-Pins.</x:v>
      </x:c>
      <x:c r="D5" s="14" t="str">
        <x:v>Externe Repo-Klone selbst.</x:v>
      </x:c>
      <x:c r="E5" s="14" t="str">
        <x:v>Für Start wahrscheinlich einfacher als Submodule.</x:v>
      </x:c>
    </x:row>
    <x:row r="6" ht="54" customHeight="1">
      <x:c r="A6" s="14" t="str">
        <x:v>Devcontainer-Modell</x:v>
      </x:c>
      <x:c r="B6" s="14" t="str">
        <x:v>Wenn mehrere Rechner/Cloud-Umgebungen stabil gleich sein sollen.</x:v>
      </x:c>
      <x:c r="C6" s="14" t="str">
        <x:v>.devcontainer/devcontainer.json, Setup-Scripts.</x:v>
      </x:c>
      <x:c r="D6" s="14" t="str">
        <x:v>ROMs und große Toolbinaries.</x:v>
      </x:c>
      <x:c r="E6" s="14" t="str">
        <x:v>Später prüfen; devkitPro/GBA-Build muss validiert werden.</x:v>
      </x:c>
    </x:row>
    <x:row r="7" ht="54" customHeight="1">
      <x:c r="A7" s="14" t="str">
        <x:v>Excel-only</x:v>
      </x:c>
      <x:c r="B7" s="14" t="str">
        <x:v>Nicht als alleiniger Stand geeignet.</x:v>
      </x:c>
      <x:c r="C7" s="14" t="str">
        <x:v>XLSX Dashboard.</x:v>
      </x:c>
      <x:c r="D7" s="14" t="str">
        <x:v>Kontext ist schlecht diffbar.</x:v>
      </x:c>
      <x:c r="E7" s="14" t="str">
        <x:v>Nicht ausreichend; immer mit Markdown koppeln.</x:v>
      </x:c>
    </x:row>
    <x:row r="8" ht="54" customHeight="1"/>
    <x:row r="9" ht="54" customHeight="1"/>
    <x:row r="10" ht="54" customHeight="1"/>
    <x:row r="11" ht="54" customHeight="1"/>
    <x:row r="12" ht="54" customHeight="1"/>
    <x:row r="13" ht="54" customHeight="1"/>
    <x:row r="14" ht="54" customHeight="1"/>
    <x:row r="15" ht="54" customHeight="1"/>
    <x:row r="16" ht="54" customHeight="1"/>
    <x:row r="17" ht="54" customHeight="1"/>
    <x:row r="18" ht="54" customHeight="1"/>
    <x:row r="19" ht="54" customHeight="1"/>
    <x:row r="20" ht="54" customHeight="1"/>
    <x:row r="21" ht="54" customHeight="1"/>
    <x:row r="22" ht="54" customHeight="1"/>
    <x:row r="23" ht="54" customHeight="1"/>
    <x:row r="24" ht="54" customHeight="1"/>
    <x:row r="25" ht="54" customHeight="1"/>
    <x:row r="26" ht="54" customHeight="1"/>
    <x:row r="27" ht="54" customHeight="1"/>
    <x:row r="28" ht="54" customHeight="1"/>
    <x:row r="29" ht="54" customHeight="1"/>
    <x:row r="30" ht="54" customHeight="1"/>
    <x:row r="31" ht="54" customHeight="1"/>
    <x:row r="32" ht="54" customHeight="1"/>
    <x:row r="33" ht="54" customHeight="1"/>
    <x:row r="34" ht="54" customHeight="1"/>
    <x:row r="35" ht="54" customHeight="1"/>
    <x:row r="36" ht="54" customHeight="1"/>
    <x:row r="37" ht="54" customHeight="1"/>
    <x:row r="38" ht="54" customHeight="1"/>
    <x:row r="39" ht="54" customHeight="1"/>
    <x:row r="40" ht="54" customHeight="1"/>
    <x:row r="41" ht="54" customHeight="1"/>
    <x:row r="42" ht="54" customHeight="1"/>
    <x:row r="43" ht="54" customHeight="1"/>
    <x:row r="44" ht="54" customHeight="1"/>
    <x:row r="45" ht="54" customHeight="1"/>
    <x:row r="46" ht="54" customHeight="1"/>
    <x:row r="47" ht="54" customHeight="1"/>
    <x:row r="48" ht="54" customHeight="1"/>
    <x:row r="49" ht="54" customHeight="1"/>
    <x:row r="50" ht="54" customHeight="1"/>
    <x:row r="51" ht="54" customHeight="1"/>
    <x:row r="52" ht="54" customHeight="1"/>
    <x:row r="53" ht="54" customHeight="1"/>
    <x:row r="54" ht="54" customHeight="1"/>
    <x:row r="55" ht="54" customHeight="1"/>
    <x:row r="56" ht="54" customHeight="1"/>
    <x:row r="57" ht="54" customHeight="1"/>
    <x:row r="58" ht="54" customHeight="1"/>
    <x:row r="59" ht="54" customHeight="1"/>
    <x:row r="60" ht="54" customHeight="1"/>
    <x:row r="61" ht="54" customHeight="1"/>
    <x:row r="62" ht="54" customHeight="1"/>
    <x:row r="63" ht="54" customHeight="1"/>
    <x:row r="64" ht="54" customHeight="1"/>
    <x:row r="65" ht="54" customHeight="1"/>
    <x:row r="66" ht="54" customHeight="1"/>
    <x:row r="67" ht="54" customHeight="1"/>
    <x:row r="68" ht="54" customHeight="1"/>
    <x:row r="69" ht="54" customHeight="1"/>
    <x:row r="70" ht="54" customHeight="1"/>
    <x:row r="71" ht="54" customHeight="1"/>
    <x:row r="72" ht="54" customHeight="1"/>
    <x:row r="73" ht="54" customHeight="1"/>
    <x:row r="74" ht="54" customHeight="1"/>
    <x:row r="75" ht="54" customHeight="1"/>
    <x:row r="76" ht="54" customHeight="1"/>
    <x:row r="77" ht="54" customHeight="1"/>
    <x:row r="78" ht="54" customHeight="1"/>
    <x:row r="79" ht="54" customHeight="1"/>
    <x:row r="80" ht="54" customHeight="1"/>
    <x:row r="81" ht="54" customHeight="1"/>
    <x:row r="82" ht="54" customHeight="1"/>
    <x:row r="83" ht="54" customHeight="1"/>
    <x:row r="84" ht="54" customHeight="1"/>
    <x:row r="85" ht="54" customHeight="1"/>
    <x:row r="86" ht="54" customHeight="1"/>
    <x:row r="87" ht="54" customHeight="1"/>
    <x:row r="88" ht="54" customHeight="1"/>
    <x:row r="89" ht="54" customHeight="1"/>
    <x:row r="90" ht="54" customHeight="1"/>
    <x:row r="91" ht="54" customHeight="1"/>
    <x:row r="92" ht="54" customHeight="1"/>
    <x:row r="93" ht="54" customHeight="1"/>
    <x:row r="94" ht="54" customHeight="1"/>
    <x:row r="95" ht="54" customHeight="1"/>
    <x:row r="96" ht="54" customHeight="1"/>
    <x:row r="97" ht="54" customHeight="1"/>
    <x:row r="98" ht="54" customHeight="1"/>
    <x:row r="99" ht="54" customHeight="1"/>
    <x:row r="100" ht="54" customHeight="1"/>
  </x:sheetData>
  <x:pageMargins left="0.7" right="0.7" top="0.75" bottom="0.75" header="0.3" footer="0.3"/>
  <x:tableParts count="1">
    <x:tablePart xmlns:r="http://schemas.openxmlformats.org/officeDocument/2006/relationships" r:id="Refa99fc417114256"/>
  </x:tableParts>
</x:worksheet>
</file>

<file path=xl/worksheets/sheet19.xml><?xml version="1.0" encoding="utf-8"?>
<x:worksheet xmlns:x="http://schemas.openxmlformats.org/spreadsheetml/2006/main">
  <x:sheetFormatPr defaultRowHeight="15"/>
  <x:cols>
    <x:col min="1" max="1" width="28" hidden="0" customWidth="1"/>
    <x:col min="2" max="2" width="16" hidden="0" customWidth="1"/>
    <x:col min="3" max="3" width="70" hidden="0" customWidth="1"/>
  </x:cols>
  <x:sheetData>
    <x:row r="1">
      <x:c r="A1" s="212" t="str">
        <x:v>Bereich</x:v>
      </x:c>
      <x:c r="B1" s="212" t="str">
        <x:v>Status</x:v>
      </x:c>
      <x:c r="C1" s="212" t="str">
        <x:v>Kommentar / Nachweis</x:v>
      </x:c>
    </x:row>
    <x:row r="2">
      <x:c r="A2" s="12" t="str">
        <x:v>Lokaler Workspace</x:v>
      </x:c>
      <x:c r="B2" s="12" t="str">
        <x:v>Erledigt</x:v>
      </x:c>
      <x:c r="C2" s="12" t="str">
        <x:v>C:\Users\anton\romhacking\fr-rando-gen9 wurde angelegt.</x:v>
      </x:c>
    </x:row>
    <x:row r="3">
      <x:c r="A3" s="12" t="str">
        <x:v>Git initialisiert</x:v>
      </x:c>
      <x:c r="B3" s="12" t="str">
        <x:v>Erledigt</x:v>
      </x:c>
      <x:c r="C3" s="12" t="str">
        <x:v>Lokales Repository erstellt, main als stabiler Branch eingerichtet.</x:v>
      </x:c>
    </x:row>
    <x:row r="4">
      <x:c r="A4" s="12" t="str">
        <x:v>GitHub-Repo</x:v>
      </x:c>
      <x:c r="B4" s="12" t="str">
        <x:v>Erledigt</x:v>
      </x:c>
      <x:c r="C4" s="12" t="str">
        <x:v>Planton361/firered-gen9-randomizer-workspace existiert und ist Source of Truth.</x:v>
      </x:c>
    </x:row>
    <x:row r="5">
      <x:c r="A5" s="12" t="str">
        <x:v>README.md</x:v>
      </x:c>
      <x:c r="B5" s="12" t="str">
        <x:v>Erledigt</x:v>
      </x:c>
      <x:c r="C5" s="12" t="str">
        <x:v>Projektziel, Repo-Rolle, Nicht-Ziele und Arbeitsweise dokumentiert.</x:v>
      </x:c>
    </x:row>
    <x:row r="6">
      <x:c r="A6" s="12" t="str">
        <x:v>AGENTS.md</x:v>
      </x:c>
      <x:c r="B6" s="12" t="str">
        <x:v>Erledigt</x:v>
      </x:c>
      <x:c r="C6" s="12" t="str">
        <x:v>Codex-Regeln, PowerShell-Regel, Branch-Regeln und Multi-Repo-Regel dokumentiert.</x:v>
      </x:c>
    </x:row>
    <x:row r="7">
      <x:c r="A7" s="12" t="str">
        <x:v>Handoff-Dokumente</x:v>
      </x:c>
      <x:c r="B7" s="12" t="str">
        <x:v>Erledigt</x:v>
      </x:c>
      <x:c r="C7" s="12" t="str">
        <x:v>PROJECT_BRIEF, SESSION_STATE, NEXT_STEPS und DECISIONS_INDEX existieren.</x:v>
      </x:c>
    </x:row>
    <x:row r="8">
      <x:c r="A8" s="12" t="str">
        <x:v>Quellenindex</x:v>
      </x:c>
      <x:c r="B8" s="12" t="str">
        <x:v>Erledigt</x:v>
      </x:c>
      <x:c r="C8" s="12" t="str">
        <x:v>UPR FVX, Shiny-Miner, CyanSMP64, Skeli789, pret, HMA, BizHawk, Ironmon, devkitPro eingetragen.</x:v>
      </x:c>
    </x:row>
    <x:row r="9">
      <x:c r="A9" s="12" t="str">
        <x:v>Tool-Manifest</x:v>
      </x:c>
      <x:c r="B9" s="12" t="str">
        <x:v>Erledigt</x:v>
      </x:c>
      <x:c r="C9" s="12" t="str">
        <x:v>Tools/Forks/Pfade/Status vorbereitet; konkrete Commits noch offen.</x:v>
      </x:c>
    </x:row>
    <x:row r="10">
      <x:c r="A10" s="12" t="str">
        <x:v>Branch Protection</x:v>
      </x:c>
      <x:c r="B10" s="12" t="str">
        <x:v>Erledigt</x:v>
      </x:c>
      <x:c r="C10" s="12" t="str">
        <x:v>main wurde geschützt; alte Setup-Branches wurden gelöscht.</x:v>
      </x:c>
    </x:row>
    <x:row r="11">
      <x:c r="A11" s="12" t="str">
        <x:v>ChatGPT-Projektdateien</x:v>
      </x:c>
      <x:c r="B11" s="12" t="str">
        <x:v>Erledigt</x:v>
      </x:c>
      <x:c r="C11" s="12" t="str">
        <x:v>Roadmap, README, AGENTS und Handoff-Dateien wurden für den Projektordner vorbereitet/hochgeladen.</x:v>
      </x:c>
    </x:row>
    <x:row r="12">
      <x:c r="A12" s="12" t="str">
        <x:v>Terminal-first-Regel</x:v>
      </x:c>
      <x:c r="B12" s="12" t="str">
        <x:v>Review/Test</x:v>
      </x:c>
      <x:c r="C12" s="12" t="str">
        <x:v>In AGENTS/README dokumentiert; eigenes terminal-commands.md folgt später.</x:v>
      </x:c>
    </x:row>
    <x:row r="13">
      <x:c r="A13" s="12" t="str">
        <x:v>Ordnerstruktur</x:v>
      </x:c>
      <x:c r="B13" s="12" t="str">
        <x:v>Review/Test</x:v>
      </x:c>
      <x:c r="C13" s="12" t="str">
        <x:v>Lokal angelegt; leere Ordner müssen später über .gitkeep oder Bootstrap-Script reproduzierbar werden.</x:v>
      </x:c>
    </x:row>
    <x:row r="14">
      <x:c r="A14" s="12" t="str">
        <x:v>Nächster Branch</x:v>
      </x:c>
      <x:c r="B14" s="12" t="str">
        <x:v>Als Nächstes</x:v>
      </x:c>
      <x:c r="C14" s="12" t="str">
        <x:v>setup/repo-governance</x:v>
      </x:c>
    </x:row>
    <x:row r="15">
      <x:c r="A15" s="12" t="str">
        <x:v>Nächster Fokus</x:v>
      </x:c>
      <x:c r="B15" s="12" t="str">
        <x:v>Als Nächstes</x:v>
      </x:c>
      <x:c r="C15" s="12" t="str">
        <x:v>Git-/Fork-/Codex-Workflow-Dokumente und Safety-/Bootstrap-Scripts.</x:v>
      </x:c>
    </x:row>
  </x:sheetData>
  <x:pageMargins left="0.7" right="0.7" top="0.75" bottom="0.75" header="0.3" footer="0.3"/>
</x:worksheet>
</file>